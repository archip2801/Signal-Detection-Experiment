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Char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charset val="1"/>
      <family val="2"/>
      <color theme="1"/>
      <sz val="11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i val="1"/>
      <color rgb="FF666666"/>
      <sz val="9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1" pivotButton="0" quotePrefix="0" xfId="0"/>
    <xf numFmtId="0" fontId="2" fillId="0" borderId="1" pivotButton="0" quotePrefix="0" xfId="0"/>
    <xf numFmtId="0" fontId="1" fillId="0" borderId="0" pivotButton="0" quotePrefix="0" xfId="0"/>
    <xf numFmtId="0" fontId="1" fillId="0" borderId="2" pivotButton="0" quotePrefix="0" xfId="0"/>
    <xf numFmtId="0" fontId="1" fillId="0" borderId="3" pivotButton="0" quotePrefix="0" xfId="0"/>
    <xf numFmtId="0" fontId="2" fillId="0" borderId="2" pivotButton="0" quotePrefix="0" xfId="0"/>
    <xf numFmtId="164" fontId="1" fillId="0" borderId="2" pivotButton="0" quotePrefix="0" xfId="0"/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Hit Rate vs. False Alarm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'Charts'!$A$2:$A$3</f>
            </numRef>
          </cat>
          <val>
            <numRef>
              <f>'Charts'!$B$2:$B$3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Proportion of Trials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 Detection Model: Noise vs. Signal Distributions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'Charts'!$D$2:$D$82</f>
            </numRef>
          </cat>
          <val>
            <numRef>
              <f>'Charts'!$E$2:$E$82</f>
            </numRef>
          </val>
          <smooth val="1"/>
        </ser>
        <ser>
          <idx val="1"/>
          <order val="1"/>
          <tx>
            <strRef>
              <f>'Charts'!F1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'Charts'!$D$2:$D$82</f>
            </numRef>
          </cat>
          <val>
            <numRef>
              <f>'Charts'!$F$2:$F$82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Internal Response Strength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Probability Density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86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zoomScaleNormal="100" workbookViewId="0">
      <selection activeCell="A1" sqref="A1"/>
    </sheetView>
  </sheetViews>
  <sheetFormatPr baseColWidth="8" defaultColWidth="8.7109375" defaultRowHeight="15"/>
  <cols>
    <col width="12" customWidth="1" min="1" max="1"/>
    <col width="18" customWidth="1" min="2" max="2"/>
    <col width="16" customWidth="1" min="3" max="3"/>
  </cols>
  <sheetData>
    <row r="1">
      <c r="A1" s="3" t="inlineStr">
        <is>
          <t>trials.tilt</t>
        </is>
      </c>
      <c r="B1" s="3" t="inlineStr">
        <is>
          <t>trials.key_resp.keys</t>
        </is>
      </c>
      <c r="C1" s="3" t="inlineStr">
        <is>
          <t>trials.key_resp.corr</t>
        </is>
      </c>
    </row>
    <row r="2">
      <c r="A2" s="4" t="n">
        <v>0</v>
      </c>
      <c r="B2" s="4" t="inlineStr">
        <is>
          <t>down</t>
        </is>
      </c>
      <c r="C2" s="4" t="n">
        <v>0</v>
      </c>
    </row>
    <row r="3">
      <c r="A3" s="4" t="n">
        <v>0</v>
      </c>
      <c r="B3" s="4" t="inlineStr">
        <is>
          <t>up</t>
        </is>
      </c>
      <c r="C3" s="4" t="n">
        <v>1</v>
      </c>
    </row>
    <row r="4">
      <c r="A4" s="4" t="n">
        <v>0</v>
      </c>
      <c r="B4" s="4" t="inlineStr">
        <is>
          <t>up</t>
        </is>
      </c>
      <c r="C4" s="4" t="n">
        <v>1</v>
      </c>
    </row>
    <row r="5">
      <c r="A5" s="4" t="n">
        <v>0</v>
      </c>
      <c r="B5" s="4" t="inlineStr">
        <is>
          <t>up</t>
        </is>
      </c>
      <c r="C5" s="4" t="n">
        <v>1</v>
      </c>
    </row>
    <row r="6">
      <c r="A6" s="4" t="n">
        <v>0</v>
      </c>
      <c r="B6" s="4" t="inlineStr">
        <is>
          <t>down</t>
        </is>
      </c>
      <c r="C6" s="4" t="n">
        <v>0</v>
      </c>
    </row>
    <row r="7">
      <c r="A7" s="4" t="n">
        <v>-3</v>
      </c>
      <c r="B7" s="4" t="inlineStr">
        <is>
          <t>down</t>
        </is>
      </c>
      <c r="C7" s="4" t="n">
        <v>1</v>
      </c>
    </row>
    <row r="8">
      <c r="A8" s="4" t="n">
        <v>-4</v>
      </c>
      <c r="B8" s="4" t="inlineStr">
        <is>
          <t>up</t>
        </is>
      </c>
      <c r="C8" s="4" t="n">
        <v>0</v>
      </c>
    </row>
    <row r="9">
      <c r="A9" s="4" t="n">
        <v>-5</v>
      </c>
      <c r="B9" s="4" t="inlineStr">
        <is>
          <t>down</t>
        </is>
      </c>
      <c r="C9" s="4" t="n">
        <v>1</v>
      </c>
    </row>
    <row r="10">
      <c r="A10" s="4" t="n">
        <v>0</v>
      </c>
      <c r="B10" s="4" t="inlineStr">
        <is>
          <t>up</t>
        </is>
      </c>
      <c r="C10" s="4" t="n">
        <v>1</v>
      </c>
    </row>
    <row r="11">
      <c r="A11" s="4" t="n">
        <v>-4</v>
      </c>
      <c r="B11" s="4" t="inlineStr">
        <is>
          <t>up</t>
        </is>
      </c>
      <c r="C11" s="4" t="n">
        <v>0</v>
      </c>
    </row>
    <row r="12">
      <c r="A12" s="4" t="n">
        <v>0</v>
      </c>
      <c r="B12" s="4" t="inlineStr">
        <is>
          <t>up</t>
        </is>
      </c>
      <c r="C12" s="4" t="n">
        <v>1</v>
      </c>
    </row>
    <row r="13">
      <c r="A13" s="4" t="n">
        <v>0</v>
      </c>
      <c r="B13" s="4" t="inlineStr">
        <is>
          <t>up</t>
        </is>
      </c>
      <c r="C13" s="4" t="n">
        <v>1</v>
      </c>
    </row>
    <row r="14">
      <c r="A14" s="4" t="n">
        <v>-3</v>
      </c>
      <c r="B14" s="4" t="inlineStr">
        <is>
          <t>up</t>
        </is>
      </c>
      <c r="C14" s="4" t="n">
        <v>0</v>
      </c>
    </row>
    <row r="15">
      <c r="A15" s="4" t="n">
        <v>-3</v>
      </c>
      <c r="B15" s="4" t="inlineStr">
        <is>
          <t>down</t>
        </is>
      </c>
      <c r="C15" s="4" t="n">
        <v>1</v>
      </c>
    </row>
    <row r="16">
      <c r="A16" s="4" t="n">
        <v>0</v>
      </c>
      <c r="B16" s="4" t="inlineStr">
        <is>
          <t>down</t>
        </is>
      </c>
      <c r="C16" s="4" t="n">
        <v>0</v>
      </c>
    </row>
    <row r="17">
      <c r="A17" s="4" t="n">
        <v>0</v>
      </c>
      <c r="B17" s="4" t="inlineStr">
        <is>
          <t>down</t>
        </is>
      </c>
      <c r="C17" s="4" t="n">
        <v>0</v>
      </c>
    </row>
    <row r="18">
      <c r="A18" s="4" t="n">
        <v>-2</v>
      </c>
      <c r="B18" s="4" t="inlineStr">
        <is>
          <t>down</t>
        </is>
      </c>
      <c r="C18" s="4" t="n">
        <v>1</v>
      </c>
    </row>
    <row r="19">
      <c r="A19" s="4" t="n">
        <v>0</v>
      </c>
      <c r="B19" s="4" t="inlineStr">
        <is>
          <t>down</t>
        </is>
      </c>
      <c r="C19" s="4" t="n">
        <v>0</v>
      </c>
    </row>
    <row r="20">
      <c r="A20" s="4" t="n">
        <v>0</v>
      </c>
      <c r="B20" s="4" t="inlineStr">
        <is>
          <t>up</t>
        </is>
      </c>
      <c r="C20" s="4" t="n">
        <v>1</v>
      </c>
    </row>
    <row r="21">
      <c r="A21" s="4" t="n">
        <v>-2</v>
      </c>
      <c r="B21" s="4" t="inlineStr">
        <is>
          <t>up</t>
        </is>
      </c>
      <c r="C21" s="4" t="n">
        <v>0</v>
      </c>
    </row>
    <row r="22">
      <c r="A22" s="4" t="n">
        <v>-4</v>
      </c>
      <c r="B22" s="4" t="inlineStr">
        <is>
          <t>up</t>
        </is>
      </c>
      <c r="C22" s="4" t="n">
        <v>0</v>
      </c>
    </row>
    <row r="23">
      <c r="A23" s="4" t="n">
        <v>-2</v>
      </c>
      <c r="B23" s="4" t="inlineStr">
        <is>
          <t>up</t>
        </is>
      </c>
      <c r="C23" s="4" t="n">
        <v>0</v>
      </c>
    </row>
    <row r="24">
      <c r="A24" s="4" t="n">
        <v>0</v>
      </c>
      <c r="B24" s="4" t="inlineStr">
        <is>
          <t>up</t>
        </is>
      </c>
      <c r="C24" s="4" t="n">
        <v>1</v>
      </c>
    </row>
    <row r="25">
      <c r="A25" s="4" t="n">
        <v>-2</v>
      </c>
      <c r="B25" s="4" t="inlineStr">
        <is>
          <t>up</t>
        </is>
      </c>
      <c r="C25" s="4" t="n">
        <v>0</v>
      </c>
    </row>
    <row r="26">
      <c r="A26" s="4" t="n">
        <v>0</v>
      </c>
      <c r="B26" s="4" t="inlineStr">
        <is>
          <t>up</t>
        </is>
      </c>
      <c r="C26" s="4" t="n">
        <v>1</v>
      </c>
    </row>
    <row r="27">
      <c r="A27" s="4" t="n">
        <v>-4</v>
      </c>
      <c r="B27" s="4" t="inlineStr">
        <is>
          <t>down</t>
        </is>
      </c>
      <c r="C27" s="4" t="n">
        <v>1</v>
      </c>
    </row>
    <row r="28">
      <c r="A28" s="4" t="n">
        <v>0</v>
      </c>
      <c r="B28" s="4" t="inlineStr">
        <is>
          <t>up</t>
        </is>
      </c>
      <c r="C28" s="4" t="n">
        <v>1</v>
      </c>
    </row>
    <row r="29">
      <c r="A29" s="4" t="n">
        <v>0</v>
      </c>
      <c r="B29" s="4" t="inlineStr">
        <is>
          <t>up</t>
        </is>
      </c>
      <c r="C29" s="4" t="n">
        <v>1</v>
      </c>
    </row>
    <row r="30">
      <c r="A30" s="4" t="n">
        <v>-3</v>
      </c>
      <c r="B30" s="4" t="inlineStr">
        <is>
          <t>up</t>
        </is>
      </c>
      <c r="C30" s="4" t="n">
        <v>0</v>
      </c>
    </row>
    <row r="31">
      <c r="A31" s="4" t="n">
        <v>0</v>
      </c>
      <c r="B31" s="4" t="inlineStr">
        <is>
          <t>up</t>
        </is>
      </c>
      <c r="C31" s="4" t="n">
        <v>1</v>
      </c>
    </row>
    <row r="32">
      <c r="A32" s="4" t="n">
        <v>-2</v>
      </c>
      <c r="B32" s="4" t="inlineStr">
        <is>
          <t>up</t>
        </is>
      </c>
      <c r="C32" s="4" t="n">
        <v>0</v>
      </c>
    </row>
    <row r="33">
      <c r="A33" s="4" t="n">
        <v>-2</v>
      </c>
      <c r="B33" s="4" t="inlineStr">
        <is>
          <t>down</t>
        </is>
      </c>
      <c r="C33" s="4" t="n">
        <v>1</v>
      </c>
    </row>
    <row r="34">
      <c r="A34" s="4" t="n">
        <v>0</v>
      </c>
      <c r="B34" s="4" t="inlineStr">
        <is>
          <t>up</t>
        </is>
      </c>
      <c r="C34" s="4" t="n">
        <v>1</v>
      </c>
    </row>
    <row r="35">
      <c r="A35" s="4" t="n">
        <v>0</v>
      </c>
      <c r="B35" s="4" t="inlineStr">
        <is>
          <t>down</t>
        </is>
      </c>
      <c r="C35" s="4" t="n">
        <v>0</v>
      </c>
    </row>
    <row r="36">
      <c r="A36" s="4" t="n">
        <v>-2</v>
      </c>
      <c r="B36" s="4" t="inlineStr">
        <is>
          <t>down</t>
        </is>
      </c>
      <c r="C36" s="4" t="n">
        <v>1</v>
      </c>
    </row>
    <row r="37">
      <c r="A37" s="4" t="n">
        <v>0</v>
      </c>
      <c r="B37" s="4" t="inlineStr">
        <is>
          <t>up</t>
        </is>
      </c>
      <c r="C37" s="4" t="n">
        <v>1</v>
      </c>
    </row>
    <row r="38">
      <c r="A38" s="4" t="n">
        <v>0</v>
      </c>
      <c r="B38" s="4" t="inlineStr">
        <is>
          <t>down</t>
        </is>
      </c>
      <c r="C38" s="4" t="n">
        <v>0</v>
      </c>
    </row>
    <row r="39">
      <c r="A39" s="4" t="n">
        <v>0</v>
      </c>
      <c r="B39" s="4" t="inlineStr">
        <is>
          <t>down</t>
        </is>
      </c>
      <c r="C39" s="4" t="n">
        <v>0</v>
      </c>
    </row>
    <row r="40">
      <c r="A40" s="4" t="n">
        <v>-2</v>
      </c>
      <c r="B40" s="4" t="inlineStr">
        <is>
          <t>down</t>
        </is>
      </c>
      <c r="C40" s="4" t="n">
        <v>1</v>
      </c>
    </row>
    <row r="41">
      <c r="A41" s="4" t="n">
        <v>-2</v>
      </c>
      <c r="B41" s="4" t="inlineStr">
        <is>
          <t>up</t>
        </is>
      </c>
      <c r="C41" s="4" t="n">
        <v>0</v>
      </c>
    </row>
    <row r="42">
      <c r="A42" s="4" t="n">
        <v>-2</v>
      </c>
      <c r="B42" s="4" t="inlineStr">
        <is>
          <t>up</t>
        </is>
      </c>
      <c r="C42" s="4" t="n">
        <v>0</v>
      </c>
    </row>
    <row r="43">
      <c r="A43" s="4" t="n">
        <v>-3</v>
      </c>
      <c r="B43" s="4" t="inlineStr">
        <is>
          <t>up</t>
        </is>
      </c>
      <c r="C43" s="4" t="n">
        <v>0</v>
      </c>
    </row>
    <row r="44">
      <c r="A44" s="4" t="n">
        <v>-5</v>
      </c>
      <c r="B44" s="4" t="inlineStr">
        <is>
          <t>up</t>
        </is>
      </c>
      <c r="C44" s="4" t="n">
        <v>0</v>
      </c>
    </row>
    <row r="45">
      <c r="A45" s="4" t="n">
        <v>0</v>
      </c>
      <c r="B45" s="4" t="inlineStr">
        <is>
          <t>up</t>
        </is>
      </c>
      <c r="C45" s="4" t="n">
        <v>1</v>
      </c>
    </row>
    <row r="46">
      <c r="A46" s="4" t="n">
        <v>0</v>
      </c>
      <c r="B46" s="4" t="inlineStr">
        <is>
          <t>down</t>
        </is>
      </c>
      <c r="C46" s="4" t="n">
        <v>0</v>
      </c>
    </row>
    <row r="47">
      <c r="A47" s="4" t="n">
        <v>0</v>
      </c>
      <c r="B47" s="4" t="inlineStr">
        <is>
          <t>up</t>
        </is>
      </c>
      <c r="C47" s="4" t="n">
        <v>1</v>
      </c>
    </row>
    <row r="48">
      <c r="A48" s="4" t="n">
        <v>0</v>
      </c>
      <c r="B48" s="4" t="inlineStr">
        <is>
          <t>down</t>
        </is>
      </c>
      <c r="C48" s="4" t="n">
        <v>0</v>
      </c>
    </row>
    <row r="49">
      <c r="A49" s="4" t="n">
        <v>0</v>
      </c>
      <c r="B49" s="4" t="inlineStr">
        <is>
          <t>down</t>
        </is>
      </c>
      <c r="C49" s="4" t="n">
        <v>0</v>
      </c>
    </row>
    <row r="50">
      <c r="A50" s="4" t="n">
        <v>-2</v>
      </c>
      <c r="B50" s="4" t="inlineStr">
        <is>
          <t>up</t>
        </is>
      </c>
      <c r="C50" s="4" t="n">
        <v>0</v>
      </c>
    </row>
    <row r="51">
      <c r="A51" s="4" t="n">
        <v>-3</v>
      </c>
      <c r="B51" s="4" t="inlineStr">
        <is>
          <t>down</t>
        </is>
      </c>
      <c r="C51" s="4" t="n">
        <v>1</v>
      </c>
    </row>
    <row r="52">
      <c r="A52" s="4" t="n">
        <v>-3</v>
      </c>
      <c r="B52" s="4" t="inlineStr">
        <is>
          <t>up</t>
        </is>
      </c>
      <c r="C52" s="4" t="n">
        <v>0</v>
      </c>
    </row>
    <row r="53">
      <c r="A53" s="4" t="n">
        <v>0</v>
      </c>
      <c r="B53" s="4" t="inlineStr">
        <is>
          <t>up</t>
        </is>
      </c>
      <c r="C53" s="4" t="n">
        <v>1</v>
      </c>
    </row>
    <row r="54">
      <c r="A54" s="4" t="n">
        <v>-3</v>
      </c>
      <c r="B54" s="4" t="inlineStr">
        <is>
          <t>down</t>
        </is>
      </c>
      <c r="C54" s="4" t="n">
        <v>1</v>
      </c>
    </row>
    <row r="55">
      <c r="A55" s="4" t="n">
        <v>-4</v>
      </c>
      <c r="B55" s="4" t="inlineStr">
        <is>
          <t>up</t>
        </is>
      </c>
      <c r="C55" s="4" t="n">
        <v>0</v>
      </c>
    </row>
    <row r="56">
      <c r="A56" s="4" t="n">
        <v>-5</v>
      </c>
      <c r="B56" s="4" t="inlineStr">
        <is>
          <t>up</t>
        </is>
      </c>
      <c r="C56" s="4" t="n">
        <v>0</v>
      </c>
    </row>
    <row r="57">
      <c r="A57" s="4" t="n">
        <v>-2</v>
      </c>
      <c r="B57" s="4" t="inlineStr">
        <is>
          <t>down</t>
        </is>
      </c>
      <c r="C57" s="4" t="n">
        <v>1</v>
      </c>
    </row>
    <row r="58">
      <c r="A58" s="4" t="n">
        <v>-2</v>
      </c>
      <c r="B58" s="4" t="inlineStr">
        <is>
          <t>up</t>
        </is>
      </c>
      <c r="C58" s="4" t="n">
        <v>0</v>
      </c>
    </row>
    <row r="59">
      <c r="A59" s="4" t="n">
        <v>-5</v>
      </c>
      <c r="B59" s="4" t="inlineStr">
        <is>
          <t>up</t>
        </is>
      </c>
      <c r="C59" s="4" t="n">
        <v>0</v>
      </c>
    </row>
    <row r="60">
      <c r="A60" s="4" t="n">
        <v>-3</v>
      </c>
      <c r="B60" s="4" t="inlineStr">
        <is>
          <t>up</t>
        </is>
      </c>
      <c r="C60" s="4" t="n">
        <v>0</v>
      </c>
    </row>
    <row r="61">
      <c r="A61" s="4" t="n">
        <v>0</v>
      </c>
      <c r="B61" s="4" t="inlineStr">
        <is>
          <t>down</t>
        </is>
      </c>
      <c r="C61" s="4" t="n">
        <v>0</v>
      </c>
    </row>
    <row r="62">
      <c r="A62" s="4" t="n">
        <v>0</v>
      </c>
      <c r="B62" s="4" t="inlineStr">
        <is>
          <t>down</t>
        </is>
      </c>
      <c r="C62" s="4" t="n">
        <v>0</v>
      </c>
    </row>
    <row r="63">
      <c r="A63" s="4" t="n">
        <v>-5</v>
      </c>
      <c r="B63" s="4" t="inlineStr">
        <is>
          <t>up</t>
        </is>
      </c>
      <c r="C63" s="4" t="n">
        <v>0</v>
      </c>
    </row>
    <row r="64">
      <c r="A64" s="4" t="n">
        <v>-3</v>
      </c>
      <c r="B64" s="4" t="inlineStr">
        <is>
          <t>up</t>
        </is>
      </c>
      <c r="C64" s="4" t="n">
        <v>0</v>
      </c>
    </row>
    <row r="65">
      <c r="A65" s="4" t="n">
        <v>-2</v>
      </c>
      <c r="B65" s="4" t="inlineStr">
        <is>
          <t>up</t>
        </is>
      </c>
      <c r="C65" s="4" t="n">
        <v>0</v>
      </c>
    </row>
    <row r="66">
      <c r="A66" s="4" t="n">
        <v>-4</v>
      </c>
      <c r="B66" s="4" t="inlineStr">
        <is>
          <t>up</t>
        </is>
      </c>
      <c r="C66" s="4" t="n">
        <v>0</v>
      </c>
    </row>
    <row r="67">
      <c r="A67" s="4" t="n">
        <v>-3</v>
      </c>
      <c r="B67" s="4" t="inlineStr">
        <is>
          <t>up</t>
        </is>
      </c>
      <c r="C67" s="4" t="n">
        <v>0</v>
      </c>
    </row>
    <row r="68">
      <c r="A68" s="4" t="n">
        <v>-3</v>
      </c>
      <c r="B68" s="4" t="inlineStr">
        <is>
          <t>down</t>
        </is>
      </c>
      <c r="C68" s="4" t="n">
        <v>1</v>
      </c>
    </row>
    <row r="69">
      <c r="A69" s="4" t="n">
        <v>-5</v>
      </c>
      <c r="B69" s="4" t="inlineStr">
        <is>
          <t>up</t>
        </is>
      </c>
      <c r="C69" s="4" t="n">
        <v>0</v>
      </c>
    </row>
    <row r="70">
      <c r="A70" s="4" t="n">
        <v>0</v>
      </c>
      <c r="B70" s="4" t="inlineStr">
        <is>
          <t>down</t>
        </is>
      </c>
      <c r="C70" s="4" t="n">
        <v>0</v>
      </c>
    </row>
    <row r="71">
      <c r="A71" s="4" t="n">
        <v>0</v>
      </c>
      <c r="B71" s="4" t="inlineStr">
        <is>
          <t>down</t>
        </is>
      </c>
      <c r="C71" s="4" t="n">
        <v>0</v>
      </c>
    </row>
    <row r="72">
      <c r="A72" s="4" t="n">
        <v>-5</v>
      </c>
      <c r="B72" s="4" t="inlineStr">
        <is>
          <t>up</t>
        </is>
      </c>
      <c r="C72" s="4" t="n">
        <v>0</v>
      </c>
    </row>
    <row r="73">
      <c r="A73" s="4" t="n">
        <v>-3</v>
      </c>
      <c r="B73" s="4" t="inlineStr">
        <is>
          <t>down</t>
        </is>
      </c>
      <c r="C73" s="4" t="n">
        <v>1</v>
      </c>
    </row>
    <row r="74">
      <c r="A74" s="4" t="n">
        <v>-3</v>
      </c>
      <c r="B74" s="4" t="inlineStr">
        <is>
          <t>down</t>
        </is>
      </c>
      <c r="C74" s="4" t="n">
        <v>1</v>
      </c>
    </row>
    <row r="75">
      <c r="A75" s="4" t="n">
        <v>0</v>
      </c>
      <c r="B75" s="4" t="inlineStr">
        <is>
          <t>down</t>
        </is>
      </c>
      <c r="C75" s="4" t="n">
        <v>0</v>
      </c>
    </row>
    <row r="76">
      <c r="A76" s="4" t="n">
        <v>-5</v>
      </c>
      <c r="B76" s="4" t="inlineStr">
        <is>
          <t>down</t>
        </is>
      </c>
      <c r="C76" s="4" t="n">
        <v>1</v>
      </c>
    </row>
    <row r="77">
      <c r="A77" s="4" t="n">
        <v>0</v>
      </c>
      <c r="B77" s="4" t="inlineStr">
        <is>
          <t>down</t>
        </is>
      </c>
      <c r="C77" s="4" t="n">
        <v>0</v>
      </c>
    </row>
    <row r="78">
      <c r="A78" s="4" t="n">
        <v>-3</v>
      </c>
      <c r="B78" s="4" t="inlineStr">
        <is>
          <t>up</t>
        </is>
      </c>
      <c r="C78" s="4" t="n">
        <v>0</v>
      </c>
    </row>
    <row r="79">
      <c r="A79" s="4" t="n">
        <v>0</v>
      </c>
      <c r="B79" s="4" t="inlineStr">
        <is>
          <t>up</t>
        </is>
      </c>
      <c r="C79" s="4" t="n">
        <v>1</v>
      </c>
    </row>
    <row r="80">
      <c r="A80" s="4" t="n">
        <v>0</v>
      </c>
      <c r="B80" s="4" t="inlineStr">
        <is>
          <t>down</t>
        </is>
      </c>
      <c r="C80" s="4" t="n">
        <v>0</v>
      </c>
    </row>
    <row r="81">
      <c r="A81" s="4" t="n">
        <v>0</v>
      </c>
      <c r="B81" s="4" t="inlineStr">
        <is>
          <t>up</t>
        </is>
      </c>
      <c r="C81" s="4" t="n">
        <v>1</v>
      </c>
    </row>
    <row r="82">
      <c r="A82" s="4" t="n">
        <v>0</v>
      </c>
      <c r="B82" s="4" t="inlineStr">
        <is>
          <t>down</t>
        </is>
      </c>
      <c r="C82" s="4" t="n">
        <v>0</v>
      </c>
    </row>
    <row r="83">
      <c r="A83" s="4" t="n">
        <v>-5</v>
      </c>
      <c r="B83" s="4" t="inlineStr">
        <is>
          <t>up</t>
        </is>
      </c>
      <c r="C83" s="4" t="n">
        <v>0</v>
      </c>
    </row>
    <row r="84">
      <c r="A84" s="4" t="n">
        <v>-4</v>
      </c>
      <c r="B84" s="4" t="inlineStr">
        <is>
          <t>up</t>
        </is>
      </c>
      <c r="C84" s="4" t="n">
        <v>0</v>
      </c>
    </row>
    <row r="85">
      <c r="A85" s="4" t="n">
        <v>0</v>
      </c>
      <c r="B85" s="4" t="inlineStr">
        <is>
          <t>up</t>
        </is>
      </c>
      <c r="C85" s="4" t="n">
        <v>1</v>
      </c>
    </row>
    <row r="86">
      <c r="A86" s="4" t="n">
        <v>-3</v>
      </c>
      <c r="B86" s="4" t="inlineStr">
        <is>
          <t>up</t>
        </is>
      </c>
      <c r="C86" s="4" t="n">
        <v>0</v>
      </c>
    </row>
    <row r="87">
      <c r="A87" s="4" t="n">
        <v>0</v>
      </c>
      <c r="B87" s="4" t="inlineStr">
        <is>
          <t>down</t>
        </is>
      </c>
      <c r="C87" s="4" t="n">
        <v>0</v>
      </c>
    </row>
    <row r="88">
      <c r="A88" s="4" t="n">
        <v>0</v>
      </c>
      <c r="B88" s="4" t="inlineStr">
        <is>
          <t>down</t>
        </is>
      </c>
      <c r="C88" s="4" t="n">
        <v>0</v>
      </c>
    </row>
    <row r="89">
      <c r="A89" s="4" t="n">
        <v>0</v>
      </c>
      <c r="B89" s="4" t="inlineStr">
        <is>
          <t>down</t>
        </is>
      </c>
      <c r="C89" s="4" t="n">
        <v>0</v>
      </c>
    </row>
    <row r="90">
      <c r="A90" s="4" t="n">
        <v>-5</v>
      </c>
      <c r="B90" s="4" t="inlineStr">
        <is>
          <t>up</t>
        </is>
      </c>
      <c r="C90" s="4" t="n">
        <v>0</v>
      </c>
    </row>
    <row r="91">
      <c r="A91" s="4" t="n">
        <v>0</v>
      </c>
      <c r="B91" s="4" t="inlineStr">
        <is>
          <t>down</t>
        </is>
      </c>
      <c r="C91" s="4" t="n">
        <v>0</v>
      </c>
    </row>
    <row r="92">
      <c r="A92" s="4" t="n">
        <v>0</v>
      </c>
      <c r="B92" s="4" t="inlineStr">
        <is>
          <t>down</t>
        </is>
      </c>
      <c r="C92" s="4" t="n">
        <v>0</v>
      </c>
    </row>
    <row r="93">
      <c r="A93" s="4" t="n">
        <v>-4</v>
      </c>
      <c r="B93" s="4" t="inlineStr">
        <is>
          <t>down</t>
        </is>
      </c>
      <c r="C93" s="4" t="n">
        <v>1</v>
      </c>
    </row>
    <row r="94">
      <c r="A94" s="4" t="n">
        <v>0</v>
      </c>
      <c r="B94" s="4" t="inlineStr">
        <is>
          <t>up</t>
        </is>
      </c>
      <c r="C94" s="4" t="n">
        <v>1</v>
      </c>
    </row>
    <row r="95">
      <c r="A95" s="4" t="n">
        <v>0</v>
      </c>
      <c r="B95" s="4" t="inlineStr">
        <is>
          <t>down</t>
        </is>
      </c>
      <c r="C95" s="4" t="n">
        <v>0</v>
      </c>
    </row>
    <row r="96">
      <c r="A96" s="4" t="n">
        <v>0</v>
      </c>
      <c r="B96" s="4" t="inlineStr">
        <is>
          <t>down</t>
        </is>
      </c>
      <c r="C96" s="4" t="n">
        <v>0</v>
      </c>
    </row>
    <row r="97">
      <c r="A97" s="4" t="n">
        <v>-3</v>
      </c>
      <c r="B97" s="4" t="inlineStr">
        <is>
          <t>up</t>
        </is>
      </c>
      <c r="C97" s="4" t="n">
        <v>0</v>
      </c>
    </row>
    <row r="98">
      <c r="A98" s="4" t="n">
        <v>0</v>
      </c>
      <c r="B98" s="4" t="inlineStr">
        <is>
          <t>up</t>
        </is>
      </c>
      <c r="C98" s="4" t="n">
        <v>1</v>
      </c>
    </row>
    <row r="99">
      <c r="A99" s="4" t="n">
        <v>-5</v>
      </c>
      <c r="B99" s="4" t="inlineStr">
        <is>
          <t>down</t>
        </is>
      </c>
      <c r="C99" s="4" t="n">
        <v>1</v>
      </c>
    </row>
    <row r="100">
      <c r="A100" s="4" t="n">
        <v>0</v>
      </c>
      <c r="B100" s="4" t="inlineStr">
        <is>
          <t>up</t>
        </is>
      </c>
      <c r="C100" s="4" t="n">
        <v>1</v>
      </c>
    </row>
    <row r="101">
      <c r="A101" s="4" t="n">
        <v>0</v>
      </c>
      <c r="B101" s="4" t="inlineStr">
        <is>
          <t>down</t>
        </is>
      </c>
      <c r="C101" s="4" t="n">
        <v>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119"/>
  <sheetViews>
    <sheetView tabSelected="1" topLeftCell="B7" zoomScaleNormal="100" workbookViewId="0">
      <selection activeCell="K115" sqref="K115"/>
    </sheetView>
  </sheetViews>
  <sheetFormatPr baseColWidth="8" defaultColWidth="8.7109375" defaultRowHeight="15"/>
  <cols>
    <col width="4" customWidth="1" min="1" max="1"/>
    <col width="14" customWidth="1" min="2" max="3"/>
    <col width="12" customWidth="1" min="4" max="4"/>
    <col width="4" customWidth="1" min="5" max="5"/>
    <col width="8" customWidth="1" min="6" max="9"/>
    <col width="13" customWidth="1" min="10" max="10"/>
    <col width="15.28515625" customWidth="1" min="11" max="11"/>
    <col width="16" customWidth="1" min="12" max="12"/>
    <col width="17.42578125" customWidth="1" min="13" max="13"/>
    <col width="33" customWidth="1" min="14" max="14"/>
    <col width="16.5703125" customWidth="1" min="15" max="15"/>
    <col width="20" customWidth="1" min="16" max="16"/>
    <col width="17.28515625" customWidth="1" min="17" max="17"/>
    <col width="44.42578125" customWidth="1" min="18" max="18"/>
  </cols>
  <sheetData>
    <row r="1">
      <c r="B1" s="3" t="inlineStr">
        <is>
          <t>key_resp.keys</t>
        </is>
      </c>
      <c r="C1" s="3" t="inlineStr">
        <is>
          <t>key_resp.corr</t>
        </is>
      </c>
      <c r="D1" s="3" t="inlineStr">
        <is>
          <t>tilt</t>
        </is>
      </c>
      <c r="F1" s="3" t="inlineStr">
        <is>
          <t>Hit</t>
        </is>
      </c>
      <c r="G1" s="3" t="inlineStr">
        <is>
          <t>Miss</t>
        </is>
      </c>
      <c r="H1" s="3" t="inlineStr">
        <is>
          <t>FA</t>
        </is>
      </c>
      <c r="I1" s="3" t="inlineStr">
        <is>
          <t>CR</t>
        </is>
      </c>
    </row>
    <row r="2">
      <c r="B2" s="4">
        <f>'Raw Data'!B2</f>
        <v/>
      </c>
      <c r="C2" s="4">
        <f>'Raw Data'!C2</f>
        <v/>
      </c>
      <c r="D2" s="4">
        <f>'Raw Data'!A2</f>
        <v/>
      </c>
      <c r="F2" s="4">
        <f>IF(AND(D2=0,B2="up"),1,0)</f>
        <v/>
      </c>
      <c r="G2" s="4">
        <f>IF(AND(D2=0,B2="down"),1,0)</f>
        <v/>
      </c>
      <c r="H2" s="4">
        <f>IF(AND(D2&lt;&gt;0,B2="up"),1,0)</f>
        <v/>
      </c>
      <c r="I2" s="4">
        <f>IF(AND(D2&lt;&gt;0,B2="down"),1,0)</f>
        <v/>
      </c>
    </row>
    <row r="3">
      <c r="B3" s="4">
        <f>'Raw Data'!B3</f>
        <v/>
      </c>
      <c r="C3" s="4">
        <f>'Raw Data'!C3</f>
        <v/>
      </c>
      <c r="D3" s="4">
        <f>'Raw Data'!A3</f>
        <v/>
      </c>
      <c r="F3" s="4">
        <f>IF(AND(D3=0,B3="up"),1,0)</f>
        <v/>
      </c>
      <c r="G3" s="4">
        <f>IF(AND(D3=0,B3="down"),1,0)</f>
        <v/>
      </c>
      <c r="H3" s="4">
        <f>IF(AND(D3&lt;&gt;0,B3="up"),1,0)</f>
        <v/>
      </c>
      <c r="I3" s="4">
        <f>IF(AND(D3&lt;&gt;0,B3="down"),1,0)</f>
        <v/>
      </c>
    </row>
    <row r="4">
      <c r="B4" s="4">
        <f>'Raw Data'!B4</f>
        <v/>
      </c>
      <c r="C4" s="4">
        <f>'Raw Data'!C4</f>
        <v/>
      </c>
      <c r="D4" s="4">
        <f>'Raw Data'!A4</f>
        <v/>
      </c>
      <c r="F4" s="4">
        <f>IF(AND(D4=0,B4="up"),1,0)</f>
        <v/>
      </c>
      <c r="G4" s="4">
        <f>IF(AND(D4=0,B4="down"),1,0)</f>
        <v/>
      </c>
      <c r="H4" s="4">
        <f>IF(AND(D4&lt;&gt;0,B4="up"),1,0)</f>
        <v/>
      </c>
      <c r="I4" s="4">
        <f>IF(AND(D4&lt;&gt;0,B4="down"),1,0)</f>
        <v/>
      </c>
    </row>
    <row r="5">
      <c r="B5" s="4">
        <f>'Raw Data'!B5</f>
        <v/>
      </c>
      <c r="C5" s="4">
        <f>'Raw Data'!C5</f>
        <v/>
      </c>
      <c r="D5" s="4">
        <f>'Raw Data'!A5</f>
        <v/>
      </c>
      <c r="F5" s="4">
        <f>IF(AND(D5=0,B5="up"),1,0)</f>
        <v/>
      </c>
      <c r="G5" s="4">
        <f>IF(AND(D5=0,B5="down"),1,0)</f>
        <v/>
      </c>
      <c r="H5" s="4">
        <f>IF(AND(D5&lt;&gt;0,B5="up"),1,0)</f>
        <v/>
      </c>
      <c r="I5" s="4">
        <f>IF(AND(D5&lt;&gt;0,B5="down"),1,0)</f>
        <v/>
      </c>
    </row>
    <row r="6">
      <c r="B6" s="4">
        <f>'Raw Data'!B6</f>
        <v/>
      </c>
      <c r="C6" s="4">
        <f>'Raw Data'!C6</f>
        <v/>
      </c>
      <c r="D6" s="4">
        <f>'Raw Data'!A6</f>
        <v/>
      </c>
      <c r="F6" s="4">
        <f>IF(AND(D6=0,B6="up"),1,0)</f>
        <v/>
      </c>
      <c r="G6" s="4">
        <f>IF(AND(D6=0,B6="down"),1,0)</f>
        <v/>
      </c>
      <c r="H6" s="4">
        <f>IF(AND(D6&lt;&gt;0,B6="up"),1,0)</f>
        <v/>
      </c>
      <c r="I6" s="4">
        <f>IF(AND(D6&lt;&gt;0,B6="down"),1,0)</f>
        <v/>
      </c>
    </row>
    <row r="7">
      <c r="B7" s="4">
        <f>'Raw Data'!B7</f>
        <v/>
      </c>
      <c r="C7" s="4">
        <f>'Raw Data'!C7</f>
        <v/>
      </c>
      <c r="D7" s="4">
        <f>'Raw Data'!A7</f>
        <v/>
      </c>
      <c r="F7" s="4">
        <f>IF(AND(D7=0,B7="up"),1,0)</f>
        <v/>
      </c>
      <c r="G7" s="4">
        <f>IF(AND(D7=0,B7="down"),1,0)</f>
        <v/>
      </c>
      <c r="H7" s="4">
        <f>IF(AND(D7&lt;&gt;0,B7="up"),1,0)</f>
        <v/>
      </c>
      <c r="I7" s="4">
        <f>IF(AND(D7&lt;&gt;0,B7="down"),1,0)</f>
        <v/>
      </c>
    </row>
    <row r="8">
      <c r="B8" s="4">
        <f>'Raw Data'!B8</f>
        <v/>
      </c>
      <c r="C8" s="4">
        <f>'Raw Data'!C8</f>
        <v/>
      </c>
      <c r="D8" s="4">
        <f>'Raw Data'!A8</f>
        <v/>
      </c>
      <c r="F8" s="4">
        <f>IF(AND(D8=0,B8="up"),1,0)</f>
        <v/>
      </c>
      <c r="G8" s="4">
        <f>IF(AND(D8=0,B8="down"),1,0)</f>
        <v/>
      </c>
      <c r="H8" s="4">
        <f>IF(AND(D8&lt;&gt;0,B8="up"),1,0)</f>
        <v/>
      </c>
      <c r="I8" s="4">
        <f>IF(AND(D8&lt;&gt;0,B8="down"),1,0)</f>
        <v/>
      </c>
    </row>
    <row r="9">
      <c r="B9" s="4">
        <f>'Raw Data'!B9</f>
        <v/>
      </c>
      <c r="C9" s="4">
        <f>'Raw Data'!C9</f>
        <v/>
      </c>
      <c r="D9" s="4">
        <f>'Raw Data'!A9</f>
        <v/>
      </c>
      <c r="F9" s="4">
        <f>IF(AND(D9=0,B9="up"),1,0)</f>
        <v/>
      </c>
      <c r="G9" s="4">
        <f>IF(AND(D9=0,B9="down"),1,0)</f>
        <v/>
      </c>
      <c r="H9" s="4">
        <f>IF(AND(D9&lt;&gt;0,B9="up"),1,0)</f>
        <v/>
      </c>
      <c r="I9" s="4">
        <f>IF(AND(D9&lt;&gt;0,B9="down"),1,0)</f>
        <v/>
      </c>
    </row>
    <row r="10">
      <c r="B10" s="4">
        <f>'Raw Data'!B10</f>
        <v/>
      </c>
      <c r="C10" s="4">
        <f>'Raw Data'!C10</f>
        <v/>
      </c>
      <c r="D10" s="4">
        <f>'Raw Data'!A10</f>
        <v/>
      </c>
      <c r="F10" s="4">
        <f>IF(AND(D10=0,B10="up"),1,0)</f>
        <v/>
      </c>
      <c r="G10" s="4">
        <f>IF(AND(D10=0,B10="down"),1,0)</f>
        <v/>
      </c>
      <c r="H10" s="4">
        <f>IF(AND(D10&lt;&gt;0,B10="up"),1,0)</f>
        <v/>
      </c>
      <c r="I10" s="4">
        <f>IF(AND(D10&lt;&gt;0,B10="down"),1,0)</f>
        <v/>
      </c>
    </row>
    <row r="11">
      <c r="B11" s="4">
        <f>'Raw Data'!B11</f>
        <v/>
      </c>
      <c r="C11" s="4">
        <f>'Raw Data'!C11</f>
        <v/>
      </c>
      <c r="D11" s="4">
        <f>'Raw Data'!A11</f>
        <v/>
      </c>
      <c r="F11" s="4">
        <f>IF(AND(D11=0,B11="up"),1,0)</f>
        <v/>
      </c>
      <c r="G11" s="4">
        <f>IF(AND(D11=0,B11="down"),1,0)</f>
        <v/>
      </c>
      <c r="H11" s="4">
        <f>IF(AND(D11&lt;&gt;0,B11="up"),1,0)</f>
        <v/>
      </c>
      <c r="I11" s="4">
        <f>IF(AND(D11&lt;&gt;0,B11="down"),1,0)</f>
        <v/>
      </c>
    </row>
    <row r="12">
      <c r="B12" s="4">
        <f>'Raw Data'!B12</f>
        <v/>
      </c>
      <c r="C12" s="4">
        <f>'Raw Data'!C12</f>
        <v/>
      </c>
      <c r="D12" s="4">
        <f>'Raw Data'!A12</f>
        <v/>
      </c>
      <c r="F12" s="4">
        <f>IF(AND(D12=0,B12="up"),1,0)</f>
        <v/>
      </c>
      <c r="G12" s="4">
        <f>IF(AND(D12=0,B12="down"),1,0)</f>
        <v/>
      </c>
      <c r="H12" s="4">
        <f>IF(AND(D12&lt;&gt;0,B12="up"),1,0)</f>
        <v/>
      </c>
      <c r="I12" s="4">
        <f>IF(AND(D12&lt;&gt;0,B12="down"),1,0)</f>
        <v/>
      </c>
    </row>
    <row r="13">
      <c r="B13" s="4">
        <f>'Raw Data'!B13</f>
        <v/>
      </c>
      <c r="C13" s="4">
        <f>'Raw Data'!C13</f>
        <v/>
      </c>
      <c r="D13" s="4">
        <f>'Raw Data'!A13</f>
        <v/>
      </c>
      <c r="F13" s="4">
        <f>IF(AND(D13=0,B13="up"),1,0)</f>
        <v/>
      </c>
      <c r="G13" s="4">
        <f>IF(AND(D13=0,B13="down"),1,0)</f>
        <v/>
      </c>
      <c r="H13" s="4">
        <f>IF(AND(D13&lt;&gt;0,B13="up"),1,0)</f>
        <v/>
      </c>
      <c r="I13" s="4">
        <f>IF(AND(D13&lt;&gt;0,B13="down"),1,0)</f>
        <v/>
      </c>
    </row>
    <row r="14">
      <c r="B14" s="4">
        <f>'Raw Data'!B14</f>
        <v/>
      </c>
      <c r="C14" s="4">
        <f>'Raw Data'!C14</f>
        <v/>
      </c>
      <c r="D14" s="4">
        <f>'Raw Data'!A14</f>
        <v/>
      </c>
      <c r="F14" s="4">
        <f>IF(AND(D14=0,B14="up"),1,0)</f>
        <v/>
      </c>
      <c r="G14" s="4">
        <f>IF(AND(D14=0,B14="down"),1,0)</f>
        <v/>
      </c>
      <c r="H14" s="4">
        <f>IF(AND(D14&lt;&gt;0,B14="up"),1,0)</f>
        <v/>
      </c>
      <c r="I14" s="4">
        <f>IF(AND(D14&lt;&gt;0,B14="down"),1,0)</f>
        <v/>
      </c>
    </row>
    <row r="15">
      <c r="B15" s="4">
        <f>'Raw Data'!B15</f>
        <v/>
      </c>
      <c r="C15" s="4">
        <f>'Raw Data'!C15</f>
        <v/>
      </c>
      <c r="D15" s="4">
        <f>'Raw Data'!A15</f>
        <v/>
      </c>
      <c r="F15" s="4">
        <f>IF(AND(D15=0,B15="up"),1,0)</f>
        <v/>
      </c>
      <c r="G15" s="4">
        <f>IF(AND(D15=0,B15="down"),1,0)</f>
        <v/>
      </c>
      <c r="H15" s="4">
        <f>IF(AND(D15&lt;&gt;0,B15="up"),1,0)</f>
        <v/>
      </c>
      <c r="I15" s="4">
        <f>IF(AND(D15&lt;&gt;0,B15="down"),1,0)</f>
        <v/>
      </c>
    </row>
    <row r="16">
      <c r="B16" s="4">
        <f>'Raw Data'!B16</f>
        <v/>
      </c>
      <c r="C16" s="4">
        <f>'Raw Data'!C16</f>
        <v/>
      </c>
      <c r="D16" s="4">
        <f>'Raw Data'!A16</f>
        <v/>
      </c>
      <c r="F16" s="4">
        <f>IF(AND(D16=0,B16="up"),1,0)</f>
        <v/>
      </c>
      <c r="G16" s="4">
        <f>IF(AND(D16=0,B16="down"),1,0)</f>
        <v/>
      </c>
      <c r="H16" s="4">
        <f>IF(AND(D16&lt;&gt;0,B16="up"),1,0)</f>
        <v/>
      </c>
      <c r="I16" s="4">
        <f>IF(AND(D16&lt;&gt;0,B16="down"),1,0)</f>
        <v/>
      </c>
    </row>
    <row r="17">
      <c r="B17" s="4">
        <f>'Raw Data'!B17</f>
        <v/>
      </c>
      <c r="C17" s="4">
        <f>'Raw Data'!C17</f>
        <v/>
      </c>
      <c r="D17" s="4">
        <f>'Raw Data'!A17</f>
        <v/>
      </c>
      <c r="F17" s="4">
        <f>IF(AND(D17=0,B17="up"),1,0)</f>
        <v/>
      </c>
      <c r="G17" s="4">
        <f>IF(AND(D17=0,B17="down"),1,0)</f>
        <v/>
      </c>
      <c r="H17" s="4">
        <f>IF(AND(D17&lt;&gt;0,B17="up"),1,0)</f>
        <v/>
      </c>
      <c r="I17" s="4">
        <f>IF(AND(D17&lt;&gt;0,B17="down"),1,0)</f>
        <v/>
      </c>
    </row>
    <row r="18">
      <c r="B18" s="4">
        <f>'Raw Data'!B18</f>
        <v/>
      </c>
      <c r="C18" s="4">
        <f>'Raw Data'!C18</f>
        <v/>
      </c>
      <c r="D18" s="4">
        <f>'Raw Data'!A18</f>
        <v/>
      </c>
      <c r="F18" s="4">
        <f>IF(AND(D18=0,B18="up"),1,0)</f>
        <v/>
      </c>
      <c r="G18" s="4">
        <f>IF(AND(D18=0,B18="down"),1,0)</f>
        <v/>
      </c>
      <c r="H18" s="4">
        <f>IF(AND(D18&lt;&gt;0,B18="up"),1,0)</f>
        <v/>
      </c>
      <c r="I18" s="4">
        <f>IF(AND(D18&lt;&gt;0,B18="down"),1,0)</f>
        <v/>
      </c>
    </row>
    <row r="19">
      <c r="B19" s="4">
        <f>'Raw Data'!B19</f>
        <v/>
      </c>
      <c r="C19" s="4">
        <f>'Raw Data'!C19</f>
        <v/>
      </c>
      <c r="D19" s="4">
        <f>'Raw Data'!A19</f>
        <v/>
      </c>
      <c r="F19" s="4">
        <f>IF(AND(D19=0,B19="up"),1,0)</f>
        <v/>
      </c>
      <c r="G19" s="4">
        <f>IF(AND(D19=0,B19="down"),1,0)</f>
        <v/>
      </c>
      <c r="H19" s="4">
        <f>IF(AND(D19&lt;&gt;0,B19="up"),1,0)</f>
        <v/>
      </c>
      <c r="I19" s="4">
        <f>IF(AND(D19&lt;&gt;0,B19="down"),1,0)</f>
        <v/>
      </c>
    </row>
    <row r="20">
      <c r="B20" s="4">
        <f>'Raw Data'!B20</f>
        <v/>
      </c>
      <c r="C20" s="4">
        <f>'Raw Data'!C20</f>
        <v/>
      </c>
      <c r="D20" s="4">
        <f>'Raw Data'!A20</f>
        <v/>
      </c>
      <c r="F20" s="4">
        <f>IF(AND(D20=0,B20="up"),1,0)</f>
        <v/>
      </c>
      <c r="G20" s="4">
        <f>IF(AND(D20=0,B20="down"),1,0)</f>
        <v/>
      </c>
      <c r="H20" s="4">
        <f>IF(AND(D20&lt;&gt;0,B20="up"),1,0)</f>
        <v/>
      </c>
      <c r="I20" s="4">
        <f>IF(AND(D20&lt;&gt;0,B20="down"),1,0)</f>
        <v/>
      </c>
    </row>
    <row r="21">
      <c r="B21" s="4">
        <f>'Raw Data'!B21</f>
        <v/>
      </c>
      <c r="C21" s="4">
        <f>'Raw Data'!C21</f>
        <v/>
      </c>
      <c r="D21" s="4">
        <f>'Raw Data'!A21</f>
        <v/>
      </c>
      <c r="F21" s="4">
        <f>IF(AND(D21=0,B21="up"),1,0)</f>
        <v/>
      </c>
      <c r="G21" s="4">
        <f>IF(AND(D21=0,B21="down"),1,0)</f>
        <v/>
      </c>
      <c r="H21" s="4">
        <f>IF(AND(D21&lt;&gt;0,B21="up"),1,0)</f>
        <v/>
      </c>
      <c r="I21" s="4">
        <f>IF(AND(D21&lt;&gt;0,B21="down"),1,0)</f>
        <v/>
      </c>
    </row>
    <row r="22">
      <c r="B22" s="4">
        <f>'Raw Data'!B22</f>
        <v/>
      </c>
      <c r="C22" s="4">
        <f>'Raw Data'!C22</f>
        <v/>
      </c>
      <c r="D22" s="4">
        <f>'Raw Data'!A22</f>
        <v/>
      </c>
      <c r="F22" s="4">
        <f>IF(AND(D22=0,B22="up"),1,0)</f>
        <v/>
      </c>
      <c r="G22" s="4">
        <f>IF(AND(D22=0,B22="down"),1,0)</f>
        <v/>
      </c>
      <c r="H22" s="4">
        <f>IF(AND(D22&lt;&gt;0,B22="up"),1,0)</f>
        <v/>
      </c>
      <c r="I22" s="4">
        <f>IF(AND(D22&lt;&gt;0,B22="down"),1,0)</f>
        <v/>
      </c>
    </row>
    <row r="23">
      <c r="B23" s="4">
        <f>'Raw Data'!B23</f>
        <v/>
      </c>
      <c r="C23" s="4">
        <f>'Raw Data'!C23</f>
        <v/>
      </c>
      <c r="D23" s="4">
        <f>'Raw Data'!A23</f>
        <v/>
      </c>
      <c r="F23" s="4">
        <f>IF(AND(D23=0,B23="up"),1,0)</f>
        <v/>
      </c>
      <c r="G23" s="4">
        <f>IF(AND(D23=0,B23="down"),1,0)</f>
        <v/>
      </c>
      <c r="H23" s="4">
        <f>IF(AND(D23&lt;&gt;0,B23="up"),1,0)</f>
        <v/>
      </c>
      <c r="I23" s="4">
        <f>IF(AND(D23&lt;&gt;0,B23="down"),1,0)</f>
        <v/>
      </c>
    </row>
    <row r="24">
      <c r="B24" s="4">
        <f>'Raw Data'!B24</f>
        <v/>
      </c>
      <c r="C24" s="4">
        <f>'Raw Data'!C24</f>
        <v/>
      </c>
      <c r="D24" s="4">
        <f>'Raw Data'!A24</f>
        <v/>
      </c>
      <c r="F24" s="4">
        <f>IF(AND(D24=0,B24="up"),1,0)</f>
        <v/>
      </c>
      <c r="G24" s="4">
        <f>IF(AND(D24=0,B24="down"),1,0)</f>
        <v/>
      </c>
      <c r="H24" s="4">
        <f>IF(AND(D24&lt;&gt;0,B24="up"),1,0)</f>
        <v/>
      </c>
      <c r="I24" s="4">
        <f>IF(AND(D24&lt;&gt;0,B24="down"),1,0)</f>
        <v/>
      </c>
    </row>
    <row r="25">
      <c r="B25" s="4">
        <f>'Raw Data'!B25</f>
        <v/>
      </c>
      <c r="C25" s="4">
        <f>'Raw Data'!C25</f>
        <v/>
      </c>
      <c r="D25" s="4">
        <f>'Raw Data'!A25</f>
        <v/>
      </c>
      <c r="F25" s="4">
        <f>IF(AND(D25=0,B25="up"),1,0)</f>
        <v/>
      </c>
      <c r="G25" s="4">
        <f>IF(AND(D25=0,B25="down"),1,0)</f>
        <v/>
      </c>
      <c r="H25" s="4">
        <f>IF(AND(D25&lt;&gt;0,B25="up"),1,0)</f>
        <v/>
      </c>
      <c r="I25" s="4">
        <f>IF(AND(D25&lt;&gt;0,B25="down"),1,0)</f>
        <v/>
      </c>
    </row>
    <row r="26">
      <c r="B26" s="4">
        <f>'Raw Data'!B26</f>
        <v/>
      </c>
      <c r="C26" s="4">
        <f>'Raw Data'!C26</f>
        <v/>
      </c>
      <c r="D26" s="4">
        <f>'Raw Data'!A26</f>
        <v/>
      </c>
      <c r="F26" s="4">
        <f>IF(AND(D26=0,B26="up"),1,0)</f>
        <v/>
      </c>
      <c r="G26" s="4">
        <f>IF(AND(D26=0,B26="down"),1,0)</f>
        <v/>
      </c>
      <c r="H26" s="4">
        <f>IF(AND(D26&lt;&gt;0,B26="up"),1,0)</f>
        <v/>
      </c>
      <c r="I26" s="4">
        <f>IF(AND(D26&lt;&gt;0,B26="down"),1,0)</f>
        <v/>
      </c>
    </row>
    <row r="27">
      <c r="B27" s="4">
        <f>'Raw Data'!B27</f>
        <v/>
      </c>
      <c r="C27" s="4">
        <f>'Raw Data'!C27</f>
        <v/>
      </c>
      <c r="D27" s="4">
        <f>'Raw Data'!A27</f>
        <v/>
      </c>
      <c r="F27" s="4">
        <f>IF(AND(D27=0,B27="up"),1,0)</f>
        <v/>
      </c>
      <c r="G27" s="4">
        <f>IF(AND(D27=0,B27="down"),1,0)</f>
        <v/>
      </c>
      <c r="H27" s="4">
        <f>IF(AND(D27&lt;&gt;0,B27="up"),1,0)</f>
        <v/>
      </c>
      <c r="I27" s="4">
        <f>IF(AND(D27&lt;&gt;0,B27="down"),1,0)</f>
        <v/>
      </c>
    </row>
    <row r="28">
      <c r="B28" s="4">
        <f>'Raw Data'!B28</f>
        <v/>
      </c>
      <c r="C28" s="4">
        <f>'Raw Data'!C28</f>
        <v/>
      </c>
      <c r="D28" s="4">
        <f>'Raw Data'!A28</f>
        <v/>
      </c>
      <c r="F28" s="4">
        <f>IF(AND(D28=0,B28="up"),1,0)</f>
        <v/>
      </c>
      <c r="G28" s="4">
        <f>IF(AND(D28=0,B28="down"),1,0)</f>
        <v/>
      </c>
      <c r="H28" s="4">
        <f>IF(AND(D28&lt;&gt;0,B28="up"),1,0)</f>
        <v/>
      </c>
      <c r="I28" s="4">
        <f>IF(AND(D28&lt;&gt;0,B28="down"),1,0)</f>
        <v/>
      </c>
    </row>
    <row r="29">
      <c r="B29" s="4">
        <f>'Raw Data'!B29</f>
        <v/>
      </c>
      <c r="C29" s="4">
        <f>'Raw Data'!C29</f>
        <v/>
      </c>
      <c r="D29" s="4">
        <f>'Raw Data'!A29</f>
        <v/>
      </c>
      <c r="F29" s="4">
        <f>IF(AND(D29=0,B29="up"),1,0)</f>
        <v/>
      </c>
      <c r="G29" s="4">
        <f>IF(AND(D29=0,B29="down"),1,0)</f>
        <v/>
      </c>
      <c r="H29" s="4">
        <f>IF(AND(D29&lt;&gt;0,B29="up"),1,0)</f>
        <v/>
      </c>
      <c r="I29" s="4">
        <f>IF(AND(D29&lt;&gt;0,B29="down"),1,0)</f>
        <v/>
      </c>
    </row>
    <row r="30">
      <c r="B30" s="4">
        <f>'Raw Data'!B30</f>
        <v/>
      </c>
      <c r="C30" s="4">
        <f>'Raw Data'!C30</f>
        <v/>
      </c>
      <c r="D30" s="4">
        <f>'Raw Data'!A30</f>
        <v/>
      </c>
      <c r="F30" s="4">
        <f>IF(AND(D30=0,B30="up"),1,0)</f>
        <v/>
      </c>
      <c r="G30" s="4">
        <f>IF(AND(D30=0,B30="down"),1,0)</f>
        <v/>
      </c>
      <c r="H30" s="4">
        <f>IF(AND(D30&lt;&gt;0,B30="up"),1,0)</f>
        <v/>
      </c>
      <c r="I30" s="4">
        <f>IF(AND(D30&lt;&gt;0,B30="down"),1,0)</f>
        <v/>
      </c>
    </row>
    <row r="31">
      <c r="B31" s="4">
        <f>'Raw Data'!B31</f>
        <v/>
      </c>
      <c r="C31" s="4">
        <f>'Raw Data'!C31</f>
        <v/>
      </c>
      <c r="D31" s="4">
        <f>'Raw Data'!A31</f>
        <v/>
      </c>
      <c r="F31" s="4">
        <f>IF(AND(D31=0,B31="up"),1,0)</f>
        <v/>
      </c>
      <c r="G31" s="4">
        <f>IF(AND(D31=0,B31="down"),1,0)</f>
        <v/>
      </c>
      <c r="H31" s="4">
        <f>IF(AND(D31&lt;&gt;0,B31="up"),1,0)</f>
        <v/>
      </c>
      <c r="I31" s="4">
        <f>IF(AND(D31&lt;&gt;0,B31="down"),1,0)</f>
        <v/>
      </c>
    </row>
    <row r="32">
      <c r="B32" s="4">
        <f>'Raw Data'!B32</f>
        <v/>
      </c>
      <c r="C32" s="4">
        <f>'Raw Data'!C32</f>
        <v/>
      </c>
      <c r="D32" s="4">
        <f>'Raw Data'!A32</f>
        <v/>
      </c>
      <c r="F32" s="4">
        <f>IF(AND(D32=0,B32="up"),1,0)</f>
        <v/>
      </c>
      <c r="G32" s="4">
        <f>IF(AND(D32=0,B32="down"),1,0)</f>
        <v/>
      </c>
      <c r="H32" s="4">
        <f>IF(AND(D32&lt;&gt;0,B32="up"),1,0)</f>
        <v/>
      </c>
      <c r="I32" s="4">
        <f>IF(AND(D32&lt;&gt;0,B32="down"),1,0)</f>
        <v/>
      </c>
    </row>
    <row r="33">
      <c r="B33" s="4">
        <f>'Raw Data'!B33</f>
        <v/>
      </c>
      <c r="C33" s="4">
        <f>'Raw Data'!C33</f>
        <v/>
      </c>
      <c r="D33" s="4">
        <f>'Raw Data'!A33</f>
        <v/>
      </c>
      <c r="F33" s="4">
        <f>IF(AND(D33=0,B33="up"),1,0)</f>
        <v/>
      </c>
      <c r="G33" s="4">
        <f>IF(AND(D33=0,B33="down"),1,0)</f>
        <v/>
      </c>
      <c r="H33" s="4">
        <f>IF(AND(D33&lt;&gt;0,B33="up"),1,0)</f>
        <v/>
      </c>
      <c r="I33" s="4">
        <f>IF(AND(D33&lt;&gt;0,B33="down"),1,0)</f>
        <v/>
      </c>
    </row>
    <row r="34">
      <c r="B34" s="4">
        <f>'Raw Data'!B34</f>
        <v/>
      </c>
      <c r="C34" s="4">
        <f>'Raw Data'!C34</f>
        <v/>
      </c>
      <c r="D34" s="4">
        <f>'Raw Data'!A34</f>
        <v/>
      </c>
      <c r="F34" s="4">
        <f>IF(AND(D34=0,B34="up"),1,0)</f>
        <v/>
      </c>
      <c r="G34" s="4">
        <f>IF(AND(D34=0,B34="down"),1,0)</f>
        <v/>
      </c>
      <c r="H34" s="4">
        <f>IF(AND(D34&lt;&gt;0,B34="up"),1,0)</f>
        <v/>
      </c>
      <c r="I34" s="4">
        <f>IF(AND(D34&lt;&gt;0,B34="down"),1,0)</f>
        <v/>
      </c>
    </row>
    <row r="35">
      <c r="B35" s="4">
        <f>'Raw Data'!B35</f>
        <v/>
      </c>
      <c r="C35" s="4">
        <f>'Raw Data'!C35</f>
        <v/>
      </c>
      <c r="D35" s="4">
        <f>'Raw Data'!A35</f>
        <v/>
      </c>
      <c r="F35" s="4">
        <f>IF(AND(D35=0,B35="up"),1,0)</f>
        <v/>
      </c>
      <c r="G35" s="4">
        <f>IF(AND(D35=0,B35="down"),1,0)</f>
        <v/>
      </c>
      <c r="H35" s="4">
        <f>IF(AND(D35&lt;&gt;0,B35="up"),1,0)</f>
        <v/>
      </c>
      <c r="I35" s="4">
        <f>IF(AND(D35&lt;&gt;0,B35="down"),1,0)</f>
        <v/>
      </c>
    </row>
    <row r="36">
      <c r="B36" s="4">
        <f>'Raw Data'!B36</f>
        <v/>
      </c>
      <c r="C36" s="4">
        <f>'Raw Data'!C36</f>
        <v/>
      </c>
      <c r="D36" s="4">
        <f>'Raw Data'!A36</f>
        <v/>
      </c>
      <c r="F36" s="4">
        <f>IF(AND(D36=0,B36="up"),1,0)</f>
        <v/>
      </c>
      <c r="G36" s="4">
        <f>IF(AND(D36=0,B36="down"),1,0)</f>
        <v/>
      </c>
      <c r="H36" s="4">
        <f>IF(AND(D36&lt;&gt;0,B36="up"),1,0)</f>
        <v/>
      </c>
      <c r="I36" s="4">
        <f>IF(AND(D36&lt;&gt;0,B36="down"),1,0)</f>
        <v/>
      </c>
    </row>
    <row r="37">
      <c r="B37" s="4">
        <f>'Raw Data'!B37</f>
        <v/>
      </c>
      <c r="C37" s="4">
        <f>'Raw Data'!C37</f>
        <v/>
      </c>
      <c r="D37" s="4">
        <f>'Raw Data'!A37</f>
        <v/>
      </c>
      <c r="F37" s="4">
        <f>IF(AND(D37=0,B37="up"),1,0)</f>
        <v/>
      </c>
      <c r="G37" s="4">
        <f>IF(AND(D37=0,B37="down"),1,0)</f>
        <v/>
      </c>
      <c r="H37" s="4">
        <f>IF(AND(D37&lt;&gt;0,B37="up"),1,0)</f>
        <v/>
      </c>
      <c r="I37" s="4">
        <f>IF(AND(D37&lt;&gt;0,B37="down"),1,0)</f>
        <v/>
      </c>
    </row>
    <row r="38">
      <c r="B38" s="4">
        <f>'Raw Data'!B38</f>
        <v/>
      </c>
      <c r="C38" s="4">
        <f>'Raw Data'!C38</f>
        <v/>
      </c>
      <c r="D38" s="4">
        <f>'Raw Data'!A38</f>
        <v/>
      </c>
      <c r="F38" s="4">
        <f>IF(AND(D38=0,B38="up"),1,0)</f>
        <v/>
      </c>
      <c r="G38" s="4">
        <f>IF(AND(D38=0,B38="down"),1,0)</f>
        <v/>
      </c>
      <c r="H38" s="4">
        <f>IF(AND(D38&lt;&gt;0,B38="up"),1,0)</f>
        <v/>
      </c>
      <c r="I38" s="4">
        <f>IF(AND(D38&lt;&gt;0,B38="down"),1,0)</f>
        <v/>
      </c>
    </row>
    <row r="39">
      <c r="B39" s="4">
        <f>'Raw Data'!B39</f>
        <v/>
      </c>
      <c r="C39" s="4">
        <f>'Raw Data'!C39</f>
        <v/>
      </c>
      <c r="D39" s="4">
        <f>'Raw Data'!A39</f>
        <v/>
      </c>
      <c r="F39" s="4">
        <f>IF(AND(D39=0,B39="up"),1,0)</f>
        <v/>
      </c>
      <c r="G39" s="4">
        <f>IF(AND(D39=0,B39="down"),1,0)</f>
        <v/>
      </c>
      <c r="H39" s="4">
        <f>IF(AND(D39&lt;&gt;0,B39="up"),1,0)</f>
        <v/>
      </c>
      <c r="I39" s="4">
        <f>IF(AND(D39&lt;&gt;0,B39="down"),1,0)</f>
        <v/>
      </c>
    </row>
    <row r="40">
      <c r="B40" s="4">
        <f>'Raw Data'!B40</f>
        <v/>
      </c>
      <c r="C40" s="4">
        <f>'Raw Data'!C40</f>
        <v/>
      </c>
      <c r="D40" s="4">
        <f>'Raw Data'!A40</f>
        <v/>
      </c>
      <c r="F40" s="4">
        <f>IF(AND(D40=0,B40="up"),1,0)</f>
        <v/>
      </c>
      <c r="G40" s="4">
        <f>IF(AND(D40=0,B40="down"),1,0)</f>
        <v/>
      </c>
      <c r="H40" s="4">
        <f>IF(AND(D40&lt;&gt;0,B40="up"),1,0)</f>
        <v/>
      </c>
      <c r="I40" s="4">
        <f>IF(AND(D40&lt;&gt;0,B40="down"),1,0)</f>
        <v/>
      </c>
    </row>
    <row r="41">
      <c r="B41" s="4">
        <f>'Raw Data'!B41</f>
        <v/>
      </c>
      <c r="C41" s="4">
        <f>'Raw Data'!C41</f>
        <v/>
      </c>
      <c r="D41" s="4">
        <f>'Raw Data'!A41</f>
        <v/>
      </c>
      <c r="F41" s="4">
        <f>IF(AND(D41=0,B41="up"),1,0)</f>
        <v/>
      </c>
      <c r="G41" s="4">
        <f>IF(AND(D41=0,B41="down"),1,0)</f>
        <v/>
      </c>
      <c r="H41" s="4">
        <f>IF(AND(D41&lt;&gt;0,B41="up"),1,0)</f>
        <v/>
      </c>
      <c r="I41" s="4">
        <f>IF(AND(D41&lt;&gt;0,B41="down"),1,0)</f>
        <v/>
      </c>
    </row>
    <row r="42">
      <c r="B42" s="4">
        <f>'Raw Data'!B42</f>
        <v/>
      </c>
      <c r="C42" s="4">
        <f>'Raw Data'!C42</f>
        <v/>
      </c>
      <c r="D42" s="4">
        <f>'Raw Data'!A42</f>
        <v/>
      </c>
      <c r="F42" s="4">
        <f>IF(AND(D42=0,B42="up"),1,0)</f>
        <v/>
      </c>
      <c r="G42" s="4">
        <f>IF(AND(D42=0,B42="down"),1,0)</f>
        <v/>
      </c>
      <c r="H42" s="4">
        <f>IF(AND(D42&lt;&gt;0,B42="up"),1,0)</f>
        <v/>
      </c>
      <c r="I42" s="4">
        <f>IF(AND(D42&lt;&gt;0,B42="down"),1,0)</f>
        <v/>
      </c>
    </row>
    <row r="43">
      <c r="B43" s="4">
        <f>'Raw Data'!B43</f>
        <v/>
      </c>
      <c r="C43" s="4">
        <f>'Raw Data'!C43</f>
        <v/>
      </c>
      <c r="D43" s="4">
        <f>'Raw Data'!A43</f>
        <v/>
      </c>
      <c r="F43" s="4">
        <f>IF(AND(D43=0,B43="up"),1,0)</f>
        <v/>
      </c>
      <c r="G43" s="4">
        <f>IF(AND(D43=0,B43="down"),1,0)</f>
        <v/>
      </c>
      <c r="H43" s="4">
        <f>IF(AND(D43&lt;&gt;0,B43="up"),1,0)</f>
        <v/>
      </c>
      <c r="I43" s="4">
        <f>IF(AND(D43&lt;&gt;0,B43="down"),1,0)</f>
        <v/>
      </c>
    </row>
    <row r="44">
      <c r="B44" s="4">
        <f>'Raw Data'!B44</f>
        <v/>
      </c>
      <c r="C44" s="4">
        <f>'Raw Data'!C44</f>
        <v/>
      </c>
      <c r="D44" s="4">
        <f>'Raw Data'!A44</f>
        <v/>
      </c>
      <c r="F44" s="4">
        <f>IF(AND(D44=0,B44="up"),1,0)</f>
        <v/>
      </c>
      <c r="G44" s="4">
        <f>IF(AND(D44=0,B44="down"),1,0)</f>
        <v/>
      </c>
      <c r="H44" s="4">
        <f>IF(AND(D44&lt;&gt;0,B44="up"),1,0)</f>
        <v/>
      </c>
      <c r="I44" s="4">
        <f>IF(AND(D44&lt;&gt;0,B44="down"),1,0)</f>
        <v/>
      </c>
    </row>
    <row r="45">
      <c r="B45" s="4">
        <f>'Raw Data'!B45</f>
        <v/>
      </c>
      <c r="C45" s="4">
        <f>'Raw Data'!C45</f>
        <v/>
      </c>
      <c r="D45" s="4">
        <f>'Raw Data'!A45</f>
        <v/>
      </c>
      <c r="F45" s="4">
        <f>IF(AND(D45=0,B45="up"),1,0)</f>
        <v/>
      </c>
      <c r="G45" s="4">
        <f>IF(AND(D45=0,B45="down"),1,0)</f>
        <v/>
      </c>
      <c r="H45" s="4">
        <f>IF(AND(D45&lt;&gt;0,B45="up"),1,0)</f>
        <v/>
      </c>
      <c r="I45" s="4">
        <f>IF(AND(D45&lt;&gt;0,B45="down"),1,0)</f>
        <v/>
      </c>
    </row>
    <row r="46">
      <c r="B46" s="4">
        <f>'Raw Data'!B46</f>
        <v/>
      </c>
      <c r="C46" s="4">
        <f>'Raw Data'!C46</f>
        <v/>
      </c>
      <c r="D46" s="4">
        <f>'Raw Data'!A46</f>
        <v/>
      </c>
      <c r="F46" s="4">
        <f>IF(AND(D46=0,B46="up"),1,0)</f>
        <v/>
      </c>
      <c r="G46" s="4">
        <f>IF(AND(D46=0,B46="down"),1,0)</f>
        <v/>
      </c>
      <c r="H46" s="4">
        <f>IF(AND(D46&lt;&gt;0,B46="up"),1,0)</f>
        <v/>
      </c>
      <c r="I46" s="4">
        <f>IF(AND(D46&lt;&gt;0,B46="down"),1,0)</f>
        <v/>
      </c>
    </row>
    <row r="47">
      <c r="B47" s="4">
        <f>'Raw Data'!B47</f>
        <v/>
      </c>
      <c r="C47" s="4">
        <f>'Raw Data'!C47</f>
        <v/>
      </c>
      <c r="D47" s="4">
        <f>'Raw Data'!A47</f>
        <v/>
      </c>
      <c r="F47" s="4">
        <f>IF(AND(D47=0,B47="up"),1,0)</f>
        <v/>
      </c>
      <c r="G47" s="4">
        <f>IF(AND(D47=0,B47="down"),1,0)</f>
        <v/>
      </c>
      <c r="H47" s="4">
        <f>IF(AND(D47&lt;&gt;0,B47="up"),1,0)</f>
        <v/>
      </c>
      <c r="I47" s="4">
        <f>IF(AND(D47&lt;&gt;0,B47="down"),1,0)</f>
        <v/>
      </c>
    </row>
    <row r="48">
      <c r="B48" s="4">
        <f>'Raw Data'!B48</f>
        <v/>
      </c>
      <c r="C48" s="4">
        <f>'Raw Data'!C48</f>
        <v/>
      </c>
      <c r="D48" s="4">
        <f>'Raw Data'!A48</f>
        <v/>
      </c>
      <c r="F48" s="4">
        <f>IF(AND(D48=0,B48="up"),1,0)</f>
        <v/>
      </c>
      <c r="G48" s="4">
        <f>IF(AND(D48=0,B48="down"),1,0)</f>
        <v/>
      </c>
      <c r="H48" s="4">
        <f>IF(AND(D48&lt;&gt;0,B48="up"),1,0)</f>
        <v/>
      </c>
      <c r="I48" s="4">
        <f>IF(AND(D48&lt;&gt;0,B48="down"),1,0)</f>
        <v/>
      </c>
    </row>
    <row r="49">
      <c r="B49" s="4">
        <f>'Raw Data'!B49</f>
        <v/>
      </c>
      <c r="C49" s="4">
        <f>'Raw Data'!C49</f>
        <v/>
      </c>
      <c r="D49" s="4">
        <f>'Raw Data'!A49</f>
        <v/>
      </c>
      <c r="F49" s="4">
        <f>IF(AND(D49=0,B49="up"),1,0)</f>
        <v/>
      </c>
      <c r="G49" s="4">
        <f>IF(AND(D49=0,B49="down"),1,0)</f>
        <v/>
      </c>
      <c r="H49" s="4">
        <f>IF(AND(D49&lt;&gt;0,B49="up"),1,0)</f>
        <v/>
      </c>
      <c r="I49" s="4">
        <f>IF(AND(D49&lt;&gt;0,B49="down"),1,0)</f>
        <v/>
      </c>
    </row>
    <row r="50">
      <c r="B50" s="4">
        <f>'Raw Data'!B50</f>
        <v/>
      </c>
      <c r="C50" s="4">
        <f>'Raw Data'!C50</f>
        <v/>
      </c>
      <c r="D50" s="4">
        <f>'Raw Data'!A50</f>
        <v/>
      </c>
      <c r="F50" s="4">
        <f>IF(AND(D50=0,B50="up"),1,0)</f>
        <v/>
      </c>
      <c r="G50" s="4">
        <f>IF(AND(D50=0,B50="down"),1,0)</f>
        <v/>
      </c>
      <c r="H50" s="4">
        <f>IF(AND(D50&lt;&gt;0,B50="up"),1,0)</f>
        <v/>
      </c>
      <c r="I50" s="4">
        <f>IF(AND(D50&lt;&gt;0,B50="down"),1,0)</f>
        <v/>
      </c>
    </row>
    <row r="51">
      <c r="B51" s="4">
        <f>'Raw Data'!B51</f>
        <v/>
      </c>
      <c r="C51" s="4">
        <f>'Raw Data'!C51</f>
        <v/>
      </c>
      <c r="D51" s="4">
        <f>'Raw Data'!A51</f>
        <v/>
      </c>
      <c r="F51" s="4">
        <f>IF(AND(D51=0,B51="up"),1,0)</f>
        <v/>
      </c>
      <c r="G51" s="4">
        <f>IF(AND(D51=0,B51="down"),1,0)</f>
        <v/>
      </c>
      <c r="H51" s="4">
        <f>IF(AND(D51&lt;&gt;0,B51="up"),1,0)</f>
        <v/>
      </c>
      <c r="I51" s="4">
        <f>IF(AND(D51&lt;&gt;0,B51="down"),1,0)</f>
        <v/>
      </c>
    </row>
    <row r="52">
      <c r="B52" s="4">
        <f>'Raw Data'!B52</f>
        <v/>
      </c>
      <c r="C52" s="4">
        <f>'Raw Data'!C52</f>
        <v/>
      </c>
      <c r="D52" s="4">
        <f>'Raw Data'!A52</f>
        <v/>
      </c>
      <c r="F52" s="4">
        <f>IF(AND(D52=0,B52="up"),1,0)</f>
        <v/>
      </c>
      <c r="G52" s="4">
        <f>IF(AND(D52=0,B52="down"),1,0)</f>
        <v/>
      </c>
      <c r="H52" s="4">
        <f>IF(AND(D52&lt;&gt;0,B52="up"),1,0)</f>
        <v/>
      </c>
      <c r="I52" s="4">
        <f>IF(AND(D52&lt;&gt;0,B52="down"),1,0)</f>
        <v/>
      </c>
    </row>
    <row r="53">
      <c r="B53" s="4">
        <f>'Raw Data'!B53</f>
        <v/>
      </c>
      <c r="C53" s="4">
        <f>'Raw Data'!C53</f>
        <v/>
      </c>
      <c r="D53" s="4">
        <f>'Raw Data'!A53</f>
        <v/>
      </c>
      <c r="F53" s="4">
        <f>IF(AND(D53=0,B53="up"),1,0)</f>
        <v/>
      </c>
      <c r="G53" s="4">
        <f>IF(AND(D53=0,B53="down"),1,0)</f>
        <v/>
      </c>
      <c r="H53" s="4">
        <f>IF(AND(D53&lt;&gt;0,B53="up"),1,0)</f>
        <v/>
      </c>
      <c r="I53" s="4">
        <f>IF(AND(D53&lt;&gt;0,B53="down"),1,0)</f>
        <v/>
      </c>
    </row>
    <row r="54">
      <c r="B54" s="4">
        <f>'Raw Data'!B54</f>
        <v/>
      </c>
      <c r="C54" s="4">
        <f>'Raw Data'!C54</f>
        <v/>
      </c>
      <c r="D54" s="4">
        <f>'Raw Data'!A54</f>
        <v/>
      </c>
      <c r="F54" s="4">
        <f>IF(AND(D54=0,B54="up"),1,0)</f>
        <v/>
      </c>
      <c r="G54" s="4">
        <f>IF(AND(D54=0,B54="down"),1,0)</f>
        <v/>
      </c>
      <c r="H54" s="4">
        <f>IF(AND(D54&lt;&gt;0,B54="up"),1,0)</f>
        <v/>
      </c>
      <c r="I54" s="4">
        <f>IF(AND(D54&lt;&gt;0,B54="down"),1,0)</f>
        <v/>
      </c>
    </row>
    <row r="55">
      <c r="B55" s="4">
        <f>'Raw Data'!B55</f>
        <v/>
      </c>
      <c r="C55" s="4">
        <f>'Raw Data'!C55</f>
        <v/>
      </c>
      <c r="D55" s="4">
        <f>'Raw Data'!A55</f>
        <v/>
      </c>
      <c r="F55" s="4">
        <f>IF(AND(D55=0,B55="up"),1,0)</f>
        <v/>
      </c>
      <c r="G55" s="4">
        <f>IF(AND(D55=0,B55="down"),1,0)</f>
        <v/>
      </c>
      <c r="H55" s="4">
        <f>IF(AND(D55&lt;&gt;0,B55="up"),1,0)</f>
        <v/>
      </c>
      <c r="I55" s="4">
        <f>IF(AND(D55&lt;&gt;0,B55="down"),1,0)</f>
        <v/>
      </c>
    </row>
    <row r="56">
      <c r="B56" s="4">
        <f>'Raw Data'!B56</f>
        <v/>
      </c>
      <c r="C56" s="4">
        <f>'Raw Data'!C56</f>
        <v/>
      </c>
      <c r="D56" s="4">
        <f>'Raw Data'!A56</f>
        <v/>
      </c>
      <c r="F56" s="4">
        <f>IF(AND(D56=0,B56="up"),1,0)</f>
        <v/>
      </c>
      <c r="G56" s="4">
        <f>IF(AND(D56=0,B56="down"),1,0)</f>
        <v/>
      </c>
      <c r="H56" s="4">
        <f>IF(AND(D56&lt;&gt;0,B56="up"),1,0)</f>
        <v/>
      </c>
      <c r="I56" s="4">
        <f>IF(AND(D56&lt;&gt;0,B56="down"),1,0)</f>
        <v/>
      </c>
    </row>
    <row r="57">
      <c r="B57" s="4">
        <f>'Raw Data'!B57</f>
        <v/>
      </c>
      <c r="C57" s="4">
        <f>'Raw Data'!C57</f>
        <v/>
      </c>
      <c r="D57" s="4">
        <f>'Raw Data'!A57</f>
        <v/>
      </c>
      <c r="F57" s="4">
        <f>IF(AND(D57=0,B57="up"),1,0)</f>
        <v/>
      </c>
      <c r="G57" s="4">
        <f>IF(AND(D57=0,B57="down"),1,0)</f>
        <v/>
      </c>
      <c r="H57" s="4">
        <f>IF(AND(D57&lt;&gt;0,B57="up"),1,0)</f>
        <v/>
      </c>
      <c r="I57" s="4">
        <f>IF(AND(D57&lt;&gt;0,B57="down"),1,0)</f>
        <v/>
      </c>
    </row>
    <row r="58">
      <c r="B58" s="4">
        <f>'Raw Data'!B58</f>
        <v/>
      </c>
      <c r="C58" s="4">
        <f>'Raw Data'!C58</f>
        <v/>
      </c>
      <c r="D58" s="4">
        <f>'Raw Data'!A58</f>
        <v/>
      </c>
      <c r="F58" s="4">
        <f>IF(AND(D58=0,B58="up"),1,0)</f>
        <v/>
      </c>
      <c r="G58" s="4">
        <f>IF(AND(D58=0,B58="down"),1,0)</f>
        <v/>
      </c>
      <c r="H58" s="4">
        <f>IF(AND(D58&lt;&gt;0,B58="up"),1,0)</f>
        <v/>
      </c>
      <c r="I58" s="4">
        <f>IF(AND(D58&lt;&gt;0,B58="down"),1,0)</f>
        <v/>
      </c>
    </row>
    <row r="59">
      <c r="B59" s="4">
        <f>'Raw Data'!B59</f>
        <v/>
      </c>
      <c r="C59" s="4">
        <f>'Raw Data'!C59</f>
        <v/>
      </c>
      <c r="D59" s="4">
        <f>'Raw Data'!A59</f>
        <v/>
      </c>
      <c r="F59" s="4">
        <f>IF(AND(D59=0,B59="up"),1,0)</f>
        <v/>
      </c>
      <c r="G59" s="4">
        <f>IF(AND(D59=0,B59="down"),1,0)</f>
        <v/>
      </c>
      <c r="H59" s="4">
        <f>IF(AND(D59&lt;&gt;0,B59="up"),1,0)</f>
        <v/>
      </c>
      <c r="I59" s="4">
        <f>IF(AND(D59&lt;&gt;0,B59="down"),1,0)</f>
        <v/>
      </c>
    </row>
    <row r="60">
      <c r="B60" s="4">
        <f>'Raw Data'!B60</f>
        <v/>
      </c>
      <c r="C60" s="4">
        <f>'Raw Data'!C60</f>
        <v/>
      </c>
      <c r="D60" s="4">
        <f>'Raw Data'!A60</f>
        <v/>
      </c>
      <c r="F60" s="4">
        <f>IF(AND(D60=0,B60="up"),1,0)</f>
        <v/>
      </c>
      <c r="G60" s="4">
        <f>IF(AND(D60=0,B60="down"),1,0)</f>
        <v/>
      </c>
      <c r="H60" s="4">
        <f>IF(AND(D60&lt;&gt;0,B60="up"),1,0)</f>
        <v/>
      </c>
      <c r="I60" s="4">
        <f>IF(AND(D60&lt;&gt;0,B60="down"),1,0)</f>
        <v/>
      </c>
    </row>
    <row r="61">
      <c r="B61" s="4">
        <f>'Raw Data'!B61</f>
        <v/>
      </c>
      <c r="C61" s="4">
        <f>'Raw Data'!C61</f>
        <v/>
      </c>
      <c r="D61" s="4">
        <f>'Raw Data'!A61</f>
        <v/>
      </c>
      <c r="F61" s="4">
        <f>IF(AND(D61=0,B61="up"),1,0)</f>
        <v/>
      </c>
      <c r="G61" s="4">
        <f>IF(AND(D61=0,B61="down"),1,0)</f>
        <v/>
      </c>
      <c r="H61" s="4">
        <f>IF(AND(D61&lt;&gt;0,B61="up"),1,0)</f>
        <v/>
      </c>
      <c r="I61" s="4">
        <f>IF(AND(D61&lt;&gt;0,B61="down"),1,0)</f>
        <v/>
      </c>
    </row>
    <row r="62">
      <c r="B62" s="4">
        <f>'Raw Data'!B62</f>
        <v/>
      </c>
      <c r="C62" s="4">
        <f>'Raw Data'!C62</f>
        <v/>
      </c>
      <c r="D62" s="4">
        <f>'Raw Data'!A62</f>
        <v/>
      </c>
      <c r="F62" s="4">
        <f>IF(AND(D62=0,B62="up"),1,0)</f>
        <v/>
      </c>
      <c r="G62" s="4">
        <f>IF(AND(D62=0,B62="down"),1,0)</f>
        <v/>
      </c>
      <c r="H62" s="4">
        <f>IF(AND(D62&lt;&gt;0,B62="up"),1,0)</f>
        <v/>
      </c>
      <c r="I62" s="4">
        <f>IF(AND(D62&lt;&gt;0,B62="down"),1,0)</f>
        <v/>
      </c>
    </row>
    <row r="63">
      <c r="B63" s="4">
        <f>'Raw Data'!B63</f>
        <v/>
      </c>
      <c r="C63" s="4">
        <f>'Raw Data'!C63</f>
        <v/>
      </c>
      <c r="D63" s="4">
        <f>'Raw Data'!A63</f>
        <v/>
      </c>
      <c r="F63" s="4">
        <f>IF(AND(D63=0,B63="up"),1,0)</f>
        <v/>
      </c>
      <c r="G63" s="4">
        <f>IF(AND(D63=0,B63="down"),1,0)</f>
        <v/>
      </c>
      <c r="H63" s="4">
        <f>IF(AND(D63&lt;&gt;0,B63="up"),1,0)</f>
        <v/>
      </c>
      <c r="I63" s="4">
        <f>IF(AND(D63&lt;&gt;0,B63="down"),1,0)</f>
        <v/>
      </c>
    </row>
    <row r="64">
      <c r="B64" s="4">
        <f>'Raw Data'!B64</f>
        <v/>
      </c>
      <c r="C64" s="4">
        <f>'Raw Data'!C64</f>
        <v/>
      </c>
      <c r="D64" s="4">
        <f>'Raw Data'!A64</f>
        <v/>
      </c>
      <c r="F64" s="4">
        <f>IF(AND(D64=0,B64="up"),1,0)</f>
        <v/>
      </c>
      <c r="G64" s="4">
        <f>IF(AND(D64=0,B64="down"),1,0)</f>
        <v/>
      </c>
      <c r="H64" s="4">
        <f>IF(AND(D64&lt;&gt;0,B64="up"),1,0)</f>
        <v/>
      </c>
      <c r="I64" s="4">
        <f>IF(AND(D64&lt;&gt;0,B64="down"),1,0)</f>
        <v/>
      </c>
    </row>
    <row r="65">
      <c r="B65" s="4">
        <f>'Raw Data'!B65</f>
        <v/>
      </c>
      <c r="C65" s="4">
        <f>'Raw Data'!C65</f>
        <v/>
      </c>
      <c r="D65" s="4">
        <f>'Raw Data'!A65</f>
        <v/>
      </c>
      <c r="F65" s="4">
        <f>IF(AND(D65=0,B65="up"),1,0)</f>
        <v/>
      </c>
      <c r="G65" s="4">
        <f>IF(AND(D65=0,B65="down"),1,0)</f>
        <v/>
      </c>
      <c r="H65" s="4">
        <f>IF(AND(D65&lt;&gt;0,B65="up"),1,0)</f>
        <v/>
      </c>
      <c r="I65" s="4">
        <f>IF(AND(D65&lt;&gt;0,B65="down"),1,0)</f>
        <v/>
      </c>
    </row>
    <row r="66">
      <c r="B66" s="4">
        <f>'Raw Data'!B66</f>
        <v/>
      </c>
      <c r="C66" s="4">
        <f>'Raw Data'!C66</f>
        <v/>
      </c>
      <c r="D66" s="4">
        <f>'Raw Data'!A66</f>
        <v/>
      </c>
      <c r="F66" s="4">
        <f>IF(AND(D66=0,B66="up"),1,0)</f>
        <v/>
      </c>
      <c r="G66" s="4">
        <f>IF(AND(D66=0,B66="down"),1,0)</f>
        <v/>
      </c>
      <c r="H66" s="4">
        <f>IF(AND(D66&lt;&gt;0,B66="up"),1,0)</f>
        <v/>
      </c>
      <c r="I66" s="4">
        <f>IF(AND(D66&lt;&gt;0,B66="down"),1,0)</f>
        <v/>
      </c>
    </row>
    <row r="67">
      <c r="B67" s="4">
        <f>'Raw Data'!B67</f>
        <v/>
      </c>
      <c r="C67" s="4">
        <f>'Raw Data'!C67</f>
        <v/>
      </c>
      <c r="D67" s="4">
        <f>'Raw Data'!A67</f>
        <v/>
      </c>
      <c r="F67" s="4">
        <f>IF(AND(D67=0,B67="up"),1,0)</f>
        <v/>
      </c>
      <c r="G67" s="4">
        <f>IF(AND(D67=0,B67="down"),1,0)</f>
        <v/>
      </c>
      <c r="H67" s="4">
        <f>IF(AND(D67&lt;&gt;0,B67="up"),1,0)</f>
        <v/>
      </c>
      <c r="I67" s="4">
        <f>IF(AND(D67&lt;&gt;0,B67="down"),1,0)</f>
        <v/>
      </c>
    </row>
    <row r="68">
      <c r="B68" s="4">
        <f>'Raw Data'!B68</f>
        <v/>
      </c>
      <c r="C68" s="4">
        <f>'Raw Data'!C68</f>
        <v/>
      </c>
      <c r="D68" s="4">
        <f>'Raw Data'!A68</f>
        <v/>
      </c>
      <c r="F68" s="4">
        <f>IF(AND(D68=0,B68="up"),1,0)</f>
        <v/>
      </c>
      <c r="G68" s="4">
        <f>IF(AND(D68=0,B68="down"),1,0)</f>
        <v/>
      </c>
      <c r="H68" s="4">
        <f>IF(AND(D68&lt;&gt;0,B68="up"),1,0)</f>
        <v/>
      </c>
      <c r="I68" s="4">
        <f>IF(AND(D68&lt;&gt;0,B68="down"),1,0)</f>
        <v/>
      </c>
    </row>
    <row r="69">
      <c r="B69" s="4">
        <f>'Raw Data'!B69</f>
        <v/>
      </c>
      <c r="C69" s="4">
        <f>'Raw Data'!C69</f>
        <v/>
      </c>
      <c r="D69" s="4">
        <f>'Raw Data'!A69</f>
        <v/>
      </c>
      <c r="F69" s="4">
        <f>IF(AND(D69=0,B69="up"),1,0)</f>
        <v/>
      </c>
      <c r="G69" s="4">
        <f>IF(AND(D69=0,B69="down"),1,0)</f>
        <v/>
      </c>
      <c r="H69" s="4">
        <f>IF(AND(D69&lt;&gt;0,B69="up"),1,0)</f>
        <v/>
      </c>
      <c r="I69" s="4">
        <f>IF(AND(D69&lt;&gt;0,B69="down"),1,0)</f>
        <v/>
      </c>
    </row>
    <row r="70">
      <c r="B70" s="4">
        <f>'Raw Data'!B70</f>
        <v/>
      </c>
      <c r="C70" s="4">
        <f>'Raw Data'!C70</f>
        <v/>
      </c>
      <c r="D70" s="4">
        <f>'Raw Data'!A70</f>
        <v/>
      </c>
      <c r="F70" s="4">
        <f>IF(AND(D70=0,B70="up"),1,0)</f>
        <v/>
      </c>
      <c r="G70" s="4">
        <f>IF(AND(D70=0,B70="down"),1,0)</f>
        <v/>
      </c>
      <c r="H70" s="4">
        <f>IF(AND(D70&lt;&gt;0,B70="up"),1,0)</f>
        <v/>
      </c>
      <c r="I70" s="4">
        <f>IF(AND(D70&lt;&gt;0,B70="down"),1,0)</f>
        <v/>
      </c>
    </row>
    <row r="71">
      <c r="B71" s="4">
        <f>'Raw Data'!B71</f>
        <v/>
      </c>
      <c r="C71" s="4">
        <f>'Raw Data'!C71</f>
        <v/>
      </c>
      <c r="D71" s="4">
        <f>'Raw Data'!A71</f>
        <v/>
      </c>
      <c r="F71" s="4">
        <f>IF(AND(D71=0,B71="up"),1,0)</f>
        <v/>
      </c>
      <c r="G71" s="4">
        <f>IF(AND(D71=0,B71="down"),1,0)</f>
        <v/>
      </c>
      <c r="H71" s="4">
        <f>IF(AND(D71&lt;&gt;0,B71="up"),1,0)</f>
        <v/>
      </c>
      <c r="I71" s="4">
        <f>IF(AND(D71&lt;&gt;0,B71="down"),1,0)</f>
        <v/>
      </c>
    </row>
    <row r="72">
      <c r="B72" s="4">
        <f>'Raw Data'!B72</f>
        <v/>
      </c>
      <c r="C72" s="4">
        <f>'Raw Data'!C72</f>
        <v/>
      </c>
      <c r="D72" s="4">
        <f>'Raw Data'!A72</f>
        <v/>
      </c>
      <c r="F72" s="4">
        <f>IF(AND(D72=0,B72="up"),1,0)</f>
        <v/>
      </c>
      <c r="G72" s="4">
        <f>IF(AND(D72=0,B72="down"),1,0)</f>
        <v/>
      </c>
      <c r="H72" s="4">
        <f>IF(AND(D72&lt;&gt;0,B72="up"),1,0)</f>
        <v/>
      </c>
      <c r="I72" s="4">
        <f>IF(AND(D72&lt;&gt;0,B72="down"),1,0)</f>
        <v/>
      </c>
    </row>
    <row r="73">
      <c r="B73" s="4">
        <f>'Raw Data'!B73</f>
        <v/>
      </c>
      <c r="C73" s="4">
        <f>'Raw Data'!C73</f>
        <v/>
      </c>
      <c r="D73" s="4">
        <f>'Raw Data'!A73</f>
        <v/>
      </c>
      <c r="F73" s="4">
        <f>IF(AND(D73=0,B73="up"),1,0)</f>
        <v/>
      </c>
      <c r="G73" s="4">
        <f>IF(AND(D73=0,B73="down"),1,0)</f>
        <v/>
      </c>
      <c r="H73" s="4">
        <f>IF(AND(D73&lt;&gt;0,B73="up"),1,0)</f>
        <v/>
      </c>
      <c r="I73" s="4">
        <f>IF(AND(D73&lt;&gt;0,B73="down"),1,0)</f>
        <v/>
      </c>
    </row>
    <row r="74">
      <c r="B74" s="4">
        <f>'Raw Data'!B74</f>
        <v/>
      </c>
      <c r="C74" s="4">
        <f>'Raw Data'!C74</f>
        <v/>
      </c>
      <c r="D74" s="4">
        <f>'Raw Data'!A74</f>
        <v/>
      </c>
      <c r="F74" s="4">
        <f>IF(AND(D74=0,B74="up"),1,0)</f>
        <v/>
      </c>
      <c r="G74" s="4">
        <f>IF(AND(D74=0,B74="down"),1,0)</f>
        <v/>
      </c>
      <c r="H74" s="4">
        <f>IF(AND(D74&lt;&gt;0,B74="up"),1,0)</f>
        <v/>
      </c>
      <c r="I74" s="4">
        <f>IF(AND(D74&lt;&gt;0,B74="down"),1,0)</f>
        <v/>
      </c>
    </row>
    <row r="75">
      <c r="B75" s="4">
        <f>'Raw Data'!B75</f>
        <v/>
      </c>
      <c r="C75" s="4">
        <f>'Raw Data'!C75</f>
        <v/>
      </c>
      <c r="D75" s="4">
        <f>'Raw Data'!A75</f>
        <v/>
      </c>
      <c r="F75" s="4">
        <f>IF(AND(D75=0,B75="up"),1,0)</f>
        <v/>
      </c>
      <c r="G75" s="4">
        <f>IF(AND(D75=0,B75="down"),1,0)</f>
        <v/>
      </c>
      <c r="H75" s="4">
        <f>IF(AND(D75&lt;&gt;0,B75="up"),1,0)</f>
        <v/>
      </c>
      <c r="I75" s="4">
        <f>IF(AND(D75&lt;&gt;0,B75="down"),1,0)</f>
        <v/>
      </c>
    </row>
    <row r="76">
      <c r="B76" s="4">
        <f>'Raw Data'!B76</f>
        <v/>
      </c>
      <c r="C76" s="4">
        <f>'Raw Data'!C76</f>
        <v/>
      </c>
      <c r="D76" s="4">
        <f>'Raw Data'!A76</f>
        <v/>
      </c>
      <c r="F76" s="4">
        <f>IF(AND(D76=0,B76="up"),1,0)</f>
        <v/>
      </c>
      <c r="G76" s="4">
        <f>IF(AND(D76=0,B76="down"),1,0)</f>
        <v/>
      </c>
      <c r="H76" s="4">
        <f>IF(AND(D76&lt;&gt;0,B76="up"),1,0)</f>
        <v/>
      </c>
      <c r="I76" s="4">
        <f>IF(AND(D76&lt;&gt;0,B76="down"),1,0)</f>
        <v/>
      </c>
    </row>
    <row r="77">
      <c r="B77" s="4">
        <f>'Raw Data'!B77</f>
        <v/>
      </c>
      <c r="C77" s="4">
        <f>'Raw Data'!C77</f>
        <v/>
      </c>
      <c r="D77" s="4">
        <f>'Raw Data'!A77</f>
        <v/>
      </c>
      <c r="F77" s="4">
        <f>IF(AND(D77=0,B77="up"),1,0)</f>
        <v/>
      </c>
      <c r="G77" s="4">
        <f>IF(AND(D77=0,B77="down"),1,0)</f>
        <v/>
      </c>
      <c r="H77" s="4">
        <f>IF(AND(D77&lt;&gt;0,B77="up"),1,0)</f>
        <v/>
      </c>
      <c r="I77" s="4">
        <f>IF(AND(D77&lt;&gt;0,B77="down"),1,0)</f>
        <v/>
      </c>
    </row>
    <row r="78">
      <c r="B78" s="4">
        <f>'Raw Data'!B78</f>
        <v/>
      </c>
      <c r="C78" s="4">
        <f>'Raw Data'!C78</f>
        <v/>
      </c>
      <c r="D78" s="4">
        <f>'Raw Data'!A78</f>
        <v/>
      </c>
      <c r="F78" s="4">
        <f>IF(AND(D78=0,B78="up"),1,0)</f>
        <v/>
      </c>
      <c r="G78" s="4">
        <f>IF(AND(D78=0,B78="down"),1,0)</f>
        <v/>
      </c>
      <c r="H78" s="4">
        <f>IF(AND(D78&lt;&gt;0,B78="up"),1,0)</f>
        <v/>
      </c>
      <c r="I78" s="4">
        <f>IF(AND(D78&lt;&gt;0,B78="down"),1,0)</f>
        <v/>
      </c>
    </row>
    <row r="79">
      <c r="B79" s="4">
        <f>'Raw Data'!B79</f>
        <v/>
      </c>
      <c r="C79" s="4">
        <f>'Raw Data'!C79</f>
        <v/>
      </c>
      <c r="D79" s="4">
        <f>'Raw Data'!A79</f>
        <v/>
      </c>
      <c r="F79" s="4">
        <f>IF(AND(D79=0,B79="up"),1,0)</f>
        <v/>
      </c>
      <c r="G79" s="4">
        <f>IF(AND(D79=0,B79="down"),1,0)</f>
        <v/>
      </c>
      <c r="H79" s="4">
        <f>IF(AND(D79&lt;&gt;0,B79="up"),1,0)</f>
        <v/>
      </c>
      <c r="I79" s="4">
        <f>IF(AND(D79&lt;&gt;0,B79="down"),1,0)</f>
        <v/>
      </c>
    </row>
    <row r="80">
      <c r="B80" s="4">
        <f>'Raw Data'!B80</f>
        <v/>
      </c>
      <c r="C80" s="4">
        <f>'Raw Data'!C80</f>
        <v/>
      </c>
      <c r="D80" s="4">
        <f>'Raw Data'!A80</f>
        <v/>
      </c>
      <c r="F80" s="4">
        <f>IF(AND(D80=0,B80="up"),1,0)</f>
        <v/>
      </c>
      <c r="G80" s="4">
        <f>IF(AND(D80=0,B80="down"),1,0)</f>
        <v/>
      </c>
      <c r="H80" s="4">
        <f>IF(AND(D80&lt;&gt;0,B80="up"),1,0)</f>
        <v/>
      </c>
      <c r="I80" s="4">
        <f>IF(AND(D80&lt;&gt;0,B80="down"),1,0)</f>
        <v/>
      </c>
    </row>
    <row r="81">
      <c r="B81" s="4">
        <f>'Raw Data'!B81</f>
        <v/>
      </c>
      <c r="C81" s="4">
        <f>'Raw Data'!C81</f>
        <v/>
      </c>
      <c r="D81" s="4">
        <f>'Raw Data'!A81</f>
        <v/>
      </c>
      <c r="F81" s="4">
        <f>IF(AND(D81=0,B81="up"),1,0)</f>
        <v/>
      </c>
      <c r="G81" s="4">
        <f>IF(AND(D81=0,B81="down"),1,0)</f>
        <v/>
      </c>
      <c r="H81" s="4">
        <f>IF(AND(D81&lt;&gt;0,B81="up"),1,0)</f>
        <v/>
      </c>
      <c r="I81" s="4">
        <f>IF(AND(D81&lt;&gt;0,B81="down"),1,0)</f>
        <v/>
      </c>
    </row>
    <row r="82">
      <c r="B82" s="4">
        <f>'Raw Data'!B82</f>
        <v/>
      </c>
      <c r="C82" s="4">
        <f>'Raw Data'!C82</f>
        <v/>
      </c>
      <c r="D82" s="4">
        <f>'Raw Data'!A82</f>
        <v/>
      </c>
      <c r="F82" s="4">
        <f>IF(AND(D82=0,B82="up"),1,0)</f>
        <v/>
      </c>
      <c r="G82" s="4">
        <f>IF(AND(D82=0,B82="down"),1,0)</f>
        <v/>
      </c>
      <c r="H82" s="4">
        <f>IF(AND(D82&lt;&gt;0,B82="up"),1,0)</f>
        <v/>
      </c>
      <c r="I82" s="4">
        <f>IF(AND(D82&lt;&gt;0,B82="down"),1,0)</f>
        <v/>
      </c>
    </row>
    <row r="83">
      <c r="B83" s="4">
        <f>'Raw Data'!B83</f>
        <v/>
      </c>
      <c r="C83" s="4">
        <f>'Raw Data'!C83</f>
        <v/>
      </c>
      <c r="D83" s="4">
        <f>'Raw Data'!A83</f>
        <v/>
      </c>
      <c r="F83" s="4">
        <f>IF(AND(D83=0,B83="up"),1,0)</f>
        <v/>
      </c>
      <c r="G83" s="4">
        <f>IF(AND(D83=0,B83="down"),1,0)</f>
        <v/>
      </c>
      <c r="H83" s="4">
        <f>IF(AND(D83&lt;&gt;0,B83="up"),1,0)</f>
        <v/>
      </c>
      <c r="I83" s="4">
        <f>IF(AND(D83&lt;&gt;0,B83="down"),1,0)</f>
        <v/>
      </c>
    </row>
    <row r="84">
      <c r="B84" s="4">
        <f>'Raw Data'!B84</f>
        <v/>
      </c>
      <c r="C84" s="4">
        <f>'Raw Data'!C84</f>
        <v/>
      </c>
      <c r="D84" s="4">
        <f>'Raw Data'!A84</f>
        <v/>
      </c>
      <c r="F84" s="4">
        <f>IF(AND(D84=0,B84="up"),1,0)</f>
        <v/>
      </c>
      <c r="G84" s="4">
        <f>IF(AND(D84=0,B84="down"),1,0)</f>
        <v/>
      </c>
      <c r="H84" s="4">
        <f>IF(AND(D84&lt;&gt;0,B84="up"),1,0)</f>
        <v/>
      </c>
      <c r="I84" s="4">
        <f>IF(AND(D84&lt;&gt;0,B84="down"),1,0)</f>
        <v/>
      </c>
    </row>
    <row r="85">
      <c r="B85" s="4">
        <f>'Raw Data'!B85</f>
        <v/>
      </c>
      <c r="C85" s="4">
        <f>'Raw Data'!C85</f>
        <v/>
      </c>
      <c r="D85" s="4">
        <f>'Raw Data'!A85</f>
        <v/>
      </c>
      <c r="F85" s="4">
        <f>IF(AND(D85=0,B85="up"),1,0)</f>
        <v/>
      </c>
      <c r="G85" s="4">
        <f>IF(AND(D85=0,B85="down"),1,0)</f>
        <v/>
      </c>
      <c r="H85" s="4">
        <f>IF(AND(D85&lt;&gt;0,B85="up"),1,0)</f>
        <v/>
      </c>
      <c r="I85" s="4">
        <f>IF(AND(D85&lt;&gt;0,B85="down"),1,0)</f>
        <v/>
      </c>
    </row>
    <row r="86">
      <c r="B86" s="4">
        <f>'Raw Data'!B86</f>
        <v/>
      </c>
      <c r="C86" s="4">
        <f>'Raw Data'!C86</f>
        <v/>
      </c>
      <c r="D86" s="4">
        <f>'Raw Data'!A86</f>
        <v/>
      </c>
      <c r="F86" s="4">
        <f>IF(AND(D86=0,B86="up"),1,0)</f>
        <v/>
      </c>
      <c r="G86" s="4">
        <f>IF(AND(D86=0,B86="down"),1,0)</f>
        <v/>
      </c>
      <c r="H86" s="4">
        <f>IF(AND(D86&lt;&gt;0,B86="up"),1,0)</f>
        <v/>
      </c>
      <c r="I86" s="4">
        <f>IF(AND(D86&lt;&gt;0,B86="down"),1,0)</f>
        <v/>
      </c>
    </row>
    <row r="87">
      <c r="B87" s="4">
        <f>'Raw Data'!B87</f>
        <v/>
      </c>
      <c r="C87" s="4">
        <f>'Raw Data'!C87</f>
        <v/>
      </c>
      <c r="D87" s="4">
        <f>'Raw Data'!A87</f>
        <v/>
      </c>
      <c r="F87" s="4">
        <f>IF(AND(D87=0,B87="up"),1,0)</f>
        <v/>
      </c>
      <c r="G87" s="4">
        <f>IF(AND(D87=0,B87="down"),1,0)</f>
        <v/>
      </c>
      <c r="H87" s="4">
        <f>IF(AND(D87&lt;&gt;0,B87="up"),1,0)</f>
        <v/>
      </c>
      <c r="I87" s="4">
        <f>IF(AND(D87&lt;&gt;0,B87="down"),1,0)</f>
        <v/>
      </c>
    </row>
    <row r="88">
      <c r="B88" s="4">
        <f>'Raw Data'!B88</f>
        <v/>
      </c>
      <c r="C88" s="4">
        <f>'Raw Data'!C88</f>
        <v/>
      </c>
      <c r="D88" s="4">
        <f>'Raw Data'!A88</f>
        <v/>
      </c>
      <c r="F88" s="4">
        <f>IF(AND(D88=0,B88="up"),1,0)</f>
        <v/>
      </c>
      <c r="G88" s="4">
        <f>IF(AND(D88=0,B88="down"),1,0)</f>
        <v/>
      </c>
      <c r="H88" s="4">
        <f>IF(AND(D88&lt;&gt;0,B88="up"),1,0)</f>
        <v/>
      </c>
      <c r="I88" s="4">
        <f>IF(AND(D88&lt;&gt;0,B88="down"),1,0)</f>
        <v/>
      </c>
    </row>
    <row r="89">
      <c r="B89" s="4">
        <f>'Raw Data'!B89</f>
        <v/>
      </c>
      <c r="C89" s="4">
        <f>'Raw Data'!C89</f>
        <v/>
      </c>
      <c r="D89" s="4">
        <f>'Raw Data'!A89</f>
        <v/>
      </c>
      <c r="F89" s="4">
        <f>IF(AND(D89=0,B89="up"),1,0)</f>
        <v/>
      </c>
      <c r="G89" s="4">
        <f>IF(AND(D89=0,B89="down"),1,0)</f>
        <v/>
      </c>
      <c r="H89" s="4">
        <f>IF(AND(D89&lt;&gt;0,B89="up"),1,0)</f>
        <v/>
      </c>
      <c r="I89" s="4">
        <f>IF(AND(D89&lt;&gt;0,B89="down"),1,0)</f>
        <v/>
      </c>
    </row>
    <row r="90">
      <c r="B90" s="4">
        <f>'Raw Data'!B90</f>
        <v/>
      </c>
      <c r="C90" s="4">
        <f>'Raw Data'!C90</f>
        <v/>
      </c>
      <c r="D90" s="4">
        <f>'Raw Data'!A90</f>
        <v/>
      </c>
      <c r="F90" s="4">
        <f>IF(AND(D90=0,B90="up"),1,0)</f>
        <v/>
      </c>
      <c r="G90" s="4">
        <f>IF(AND(D90=0,B90="down"),1,0)</f>
        <v/>
      </c>
      <c r="H90" s="4">
        <f>IF(AND(D90&lt;&gt;0,B90="up"),1,0)</f>
        <v/>
      </c>
      <c r="I90" s="4">
        <f>IF(AND(D90&lt;&gt;0,B90="down"),1,0)</f>
        <v/>
      </c>
    </row>
    <row r="91">
      <c r="B91" s="4">
        <f>'Raw Data'!B91</f>
        <v/>
      </c>
      <c r="C91" s="4">
        <f>'Raw Data'!C91</f>
        <v/>
      </c>
      <c r="D91" s="4">
        <f>'Raw Data'!A91</f>
        <v/>
      </c>
      <c r="F91" s="4">
        <f>IF(AND(D91=0,B91="up"),1,0)</f>
        <v/>
      </c>
      <c r="G91" s="4">
        <f>IF(AND(D91=0,B91="down"),1,0)</f>
        <v/>
      </c>
      <c r="H91" s="4">
        <f>IF(AND(D91&lt;&gt;0,B91="up"),1,0)</f>
        <v/>
      </c>
      <c r="I91" s="4">
        <f>IF(AND(D91&lt;&gt;0,B91="down"),1,0)</f>
        <v/>
      </c>
    </row>
    <row r="92">
      <c r="B92" s="4">
        <f>'Raw Data'!B92</f>
        <v/>
      </c>
      <c r="C92" s="4">
        <f>'Raw Data'!C92</f>
        <v/>
      </c>
      <c r="D92" s="4">
        <f>'Raw Data'!A92</f>
        <v/>
      </c>
      <c r="F92" s="4">
        <f>IF(AND(D92=0,B92="up"),1,0)</f>
        <v/>
      </c>
      <c r="G92" s="4">
        <f>IF(AND(D92=0,B92="down"),1,0)</f>
        <v/>
      </c>
      <c r="H92" s="4">
        <f>IF(AND(D92&lt;&gt;0,B92="up"),1,0)</f>
        <v/>
      </c>
      <c r="I92" s="4">
        <f>IF(AND(D92&lt;&gt;0,B92="down"),1,0)</f>
        <v/>
      </c>
    </row>
    <row r="93">
      <c r="B93" s="4">
        <f>'Raw Data'!B93</f>
        <v/>
      </c>
      <c r="C93" s="4">
        <f>'Raw Data'!C93</f>
        <v/>
      </c>
      <c r="D93" s="4">
        <f>'Raw Data'!A93</f>
        <v/>
      </c>
      <c r="F93" s="4">
        <f>IF(AND(D93=0,B93="up"),1,0)</f>
        <v/>
      </c>
      <c r="G93" s="4">
        <f>IF(AND(D93=0,B93="down"),1,0)</f>
        <v/>
      </c>
      <c r="H93" s="4">
        <f>IF(AND(D93&lt;&gt;0,B93="up"),1,0)</f>
        <v/>
      </c>
      <c r="I93" s="4">
        <f>IF(AND(D93&lt;&gt;0,B93="down"),1,0)</f>
        <v/>
      </c>
    </row>
    <row r="94">
      <c r="B94" s="4">
        <f>'Raw Data'!B94</f>
        <v/>
      </c>
      <c r="C94" s="4">
        <f>'Raw Data'!C94</f>
        <v/>
      </c>
      <c r="D94" s="4">
        <f>'Raw Data'!A94</f>
        <v/>
      </c>
      <c r="F94" s="4">
        <f>IF(AND(D94=0,B94="up"),1,0)</f>
        <v/>
      </c>
      <c r="G94" s="4">
        <f>IF(AND(D94=0,B94="down"),1,0)</f>
        <v/>
      </c>
      <c r="H94" s="4">
        <f>IF(AND(D94&lt;&gt;0,B94="up"),1,0)</f>
        <v/>
      </c>
      <c r="I94" s="4">
        <f>IF(AND(D94&lt;&gt;0,B94="down"),1,0)</f>
        <v/>
      </c>
    </row>
    <row r="95">
      <c r="B95" s="4">
        <f>'Raw Data'!B95</f>
        <v/>
      </c>
      <c r="C95" s="4">
        <f>'Raw Data'!C95</f>
        <v/>
      </c>
      <c r="D95" s="4">
        <f>'Raw Data'!A95</f>
        <v/>
      </c>
      <c r="F95" s="4">
        <f>IF(AND(D95=0,B95="up"),1,0)</f>
        <v/>
      </c>
      <c r="G95" s="4">
        <f>IF(AND(D95=0,B95="down"),1,0)</f>
        <v/>
      </c>
      <c r="H95" s="4">
        <f>IF(AND(D95&lt;&gt;0,B95="up"),1,0)</f>
        <v/>
      </c>
      <c r="I95" s="4">
        <f>IF(AND(D95&lt;&gt;0,B95="down"),1,0)</f>
        <v/>
      </c>
    </row>
    <row r="96">
      <c r="B96" s="4">
        <f>'Raw Data'!B96</f>
        <v/>
      </c>
      <c r="C96" s="4">
        <f>'Raw Data'!C96</f>
        <v/>
      </c>
      <c r="D96" s="4">
        <f>'Raw Data'!A96</f>
        <v/>
      </c>
      <c r="F96" s="4">
        <f>IF(AND(D96=0,B96="up"),1,0)</f>
        <v/>
      </c>
      <c r="G96" s="4">
        <f>IF(AND(D96=0,B96="down"),1,0)</f>
        <v/>
      </c>
      <c r="H96" s="4">
        <f>IF(AND(D96&lt;&gt;0,B96="up"),1,0)</f>
        <v/>
      </c>
      <c r="I96" s="4">
        <f>IF(AND(D96&lt;&gt;0,B96="down"),1,0)</f>
        <v/>
      </c>
    </row>
    <row r="97">
      <c r="B97" s="4">
        <f>'Raw Data'!B97</f>
        <v/>
      </c>
      <c r="C97" s="4">
        <f>'Raw Data'!C97</f>
        <v/>
      </c>
      <c r="D97" s="4">
        <f>'Raw Data'!A97</f>
        <v/>
      </c>
      <c r="F97" s="4">
        <f>IF(AND(D97=0,B97="up"),1,0)</f>
        <v/>
      </c>
      <c r="G97" s="4">
        <f>IF(AND(D97=0,B97="down"),1,0)</f>
        <v/>
      </c>
      <c r="H97" s="4">
        <f>IF(AND(D97&lt;&gt;0,B97="up"),1,0)</f>
        <v/>
      </c>
      <c r="I97" s="4">
        <f>IF(AND(D97&lt;&gt;0,B97="down"),1,0)</f>
        <v/>
      </c>
    </row>
    <row r="98">
      <c r="B98" s="4">
        <f>'Raw Data'!B98</f>
        <v/>
      </c>
      <c r="C98" s="4">
        <f>'Raw Data'!C98</f>
        <v/>
      </c>
      <c r="D98" s="4">
        <f>'Raw Data'!A98</f>
        <v/>
      </c>
      <c r="F98" s="4">
        <f>IF(AND(D98=0,B98="up"),1,0)</f>
        <v/>
      </c>
      <c r="G98" s="4">
        <f>IF(AND(D98=0,B98="down"),1,0)</f>
        <v/>
      </c>
      <c r="H98" s="4">
        <f>IF(AND(D98&lt;&gt;0,B98="up"),1,0)</f>
        <v/>
      </c>
      <c r="I98" s="4">
        <f>IF(AND(D98&lt;&gt;0,B98="down"),1,0)</f>
        <v/>
      </c>
    </row>
    <row r="99">
      <c r="B99" s="4">
        <f>'Raw Data'!B99</f>
        <v/>
      </c>
      <c r="C99" s="4">
        <f>'Raw Data'!C99</f>
        <v/>
      </c>
      <c r="D99" s="4">
        <f>'Raw Data'!A99</f>
        <v/>
      </c>
      <c r="F99" s="4">
        <f>IF(AND(D99=0,B99="up"),1,0)</f>
        <v/>
      </c>
      <c r="G99" s="4">
        <f>IF(AND(D99=0,B99="down"),1,0)</f>
        <v/>
      </c>
      <c r="H99" s="4">
        <f>IF(AND(D99&lt;&gt;0,B99="up"),1,0)</f>
        <v/>
      </c>
      <c r="I99" s="4">
        <f>IF(AND(D99&lt;&gt;0,B99="down"),1,0)</f>
        <v/>
      </c>
    </row>
    <row r="100">
      <c r="B100" s="4">
        <f>'Raw Data'!B100</f>
        <v/>
      </c>
      <c r="C100" s="4">
        <f>'Raw Data'!C100</f>
        <v/>
      </c>
      <c r="D100" s="4">
        <f>'Raw Data'!A100</f>
        <v/>
      </c>
      <c r="F100" s="4">
        <f>IF(AND(D100=0,B100="up"),1,0)</f>
        <v/>
      </c>
      <c r="G100" s="4">
        <f>IF(AND(D100=0,B100="down"),1,0)</f>
        <v/>
      </c>
      <c r="H100" s="4">
        <f>IF(AND(D100&lt;&gt;0,B100="up"),1,0)</f>
        <v/>
      </c>
      <c r="I100" s="4">
        <f>IF(AND(D100&lt;&gt;0,B100="down"),1,0)</f>
        <v/>
      </c>
    </row>
    <row r="101">
      <c r="B101" s="4">
        <f>'Raw Data'!B101</f>
        <v/>
      </c>
      <c r="C101" s="4">
        <f>'Raw Data'!C101</f>
        <v/>
      </c>
      <c r="D101" s="4">
        <f>'Raw Data'!A101</f>
        <v/>
      </c>
      <c r="F101" s="4">
        <f>IF(AND(D101=0,B101="up"),1,0)</f>
        <v/>
      </c>
      <c r="G101" s="4">
        <f>IF(AND(D101=0,B101="down"),1,0)</f>
        <v/>
      </c>
      <c r="H101" s="4">
        <f>IF(AND(D101&lt;&gt;0,B101="up"),1,0)</f>
        <v/>
      </c>
      <c r="I101" s="4">
        <f>IF(AND(D101&lt;&gt;0,B101="down"),1,0)</f>
        <v/>
      </c>
    </row>
    <row r="102">
      <c r="F102" s="5">
        <f>SUM(F2:F101)</f>
        <v/>
      </c>
      <c r="G102" s="5">
        <f>SUM(G2:G101)</f>
        <v/>
      </c>
      <c r="H102" s="5">
        <f>SUM(H2:H101)</f>
        <v/>
      </c>
      <c r="I102" s="5">
        <f>SUM(I2:I101)</f>
        <v/>
      </c>
      <c r="J102" s="5" t="inlineStr">
        <is>
          <t>sum</t>
        </is>
      </c>
    </row>
    <row r="104" ht="27.75" customHeight="1">
      <c r="B104" s="2" t="inlineStr">
        <is>
          <t>Convention: Signal Present = tilt = 0 (vertical/no tilt); Signal Absent = tilt ≠ 0 (line actually tilted). 'up' = Respond YES, 'down' = Respond NO (matches how key_resp.corr was scored in the raw data).</t>
        </is>
      </c>
    </row>
    <row r="107">
      <c r="M107" s="7" t="inlineStr">
        <is>
          <t>Respond Yes</t>
        </is>
      </c>
      <c r="N107" s="7" t="inlineStr">
        <is>
          <t>Respond No</t>
        </is>
      </c>
      <c r="Q107" s="7" t="inlineStr">
        <is>
          <t>Respond Yes</t>
        </is>
      </c>
      <c r="R107" s="7" t="inlineStr">
        <is>
          <t>Respond No</t>
        </is>
      </c>
    </row>
    <row r="108">
      <c r="L108" s="8" t="inlineStr">
        <is>
          <t>Signal Present</t>
        </is>
      </c>
      <c r="M108" s="8" t="inlineStr">
        <is>
          <t>Hit</t>
        </is>
      </c>
      <c r="N108" s="8" t="inlineStr">
        <is>
          <t>Miss</t>
        </is>
      </c>
      <c r="P108" s="8" t="inlineStr">
        <is>
          <t>Signal Present</t>
        </is>
      </c>
      <c r="Q108" s="8">
        <f>F102</f>
        <v/>
      </c>
      <c r="R108" s="8">
        <f>G102</f>
        <v/>
      </c>
    </row>
    <row r="109">
      <c r="L109" s="8" t="inlineStr">
        <is>
          <t>Signal Absent</t>
        </is>
      </c>
      <c r="M109" s="8" t="inlineStr">
        <is>
          <t>False Alarm</t>
        </is>
      </c>
      <c r="N109" s="8" t="inlineStr">
        <is>
          <t>Correct Rejection (CR)</t>
        </is>
      </c>
      <c r="P109" s="8" t="inlineStr">
        <is>
          <t>Signal Absent</t>
        </is>
      </c>
      <c r="Q109" s="8">
        <f>H102</f>
        <v/>
      </c>
      <c r="R109" s="8">
        <f>I102</f>
        <v/>
      </c>
    </row>
    <row r="111">
      <c r="N111" s="8" t="inlineStr">
        <is>
          <t>Proportion Hit= Hit/Hit+Miss</t>
        </is>
      </c>
      <c r="O111" s="9">
        <f>Q108/(Q108+R108)</f>
        <v/>
      </c>
    </row>
    <row r="112">
      <c r="N112" s="8" t="inlineStr">
        <is>
          <t>Proportion FA= FA/FA+CR</t>
        </is>
      </c>
      <c r="O112" s="9">
        <f>Q109/(Q109+R109)</f>
        <v/>
      </c>
    </row>
    <row r="113">
      <c r="N113" s="8" t="inlineStr">
        <is>
          <t>d-prime= Z(prop hit)-Z(prop FA)</t>
        </is>
      </c>
      <c r="O113" s="9">
        <f>NORMSINV(O111)-NORMSINV(O112)</f>
        <v/>
      </c>
    </row>
    <row r="114">
      <c r="N114" s="8" t="inlineStr">
        <is>
          <t>c= -Z(prop hit)+Z(prop FA)/2</t>
        </is>
      </c>
      <c r="O114" s="9">
        <f>-((NORMSINV(O111)+NORMSINV(O112))/2)</f>
        <v/>
      </c>
    </row>
    <row r="115" ht="39.75" customHeight="1">
      <c r="P115" s="1" t="inlineStr">
        <is>
          <t>If there is a minus sign in the formula, the interpretation is that a negative value of c indicates a bias to respond YES (liberal bias) and if the minus sign is omitted then the negative value of c indicates a bias to respond NO (conservative bias).</t>
        </is>
      </c>
    </row>
    <row r="118">
      <c r="F118" s="7" t="inlineStr">
        <is>
          <t>Hit</t>
        </is>
      </c>
      <c r="G118" s="7" t="inlineStr">
        <is>
          <t>Miss</t>
        </is>
      </c>
      <c r="H118" s="7" t="inlineStr">
        <is>
          <t>False Alarm</t>
        </is>
      </c>
      <c r="I118" s="7" t="inlineStr">
        <is>
          <t>Correct Rejection</t>
        </is>
      </c>
      <c r="J118" s="10" t="n"/>
    </row>
    <row r="119">
      <c r="E119" s="6" t="inlineStr">
        <is>
          <t>No. of Trials</t>
        </is>
      </c>
      <c r="F119" s="8">
        <f>F102</f>
        <v/>
      </c>
      <c r="G119" s="8">
        <f>G102</f>
        <v/>
      </c>
      <c r="H119" s="8">
        <f>H102</f>
        <v/>
      </c>
      <c r="I119" s="13">
        <f>I102</f>
        <v/>
      </c>
      <c r="J119" s="14" t="n"/>
    </row>
  </sheetData>
  <mergeCells count="3">
    <mergeCell ref="P115:R115"/>
    <mergeCell ref="B104:J104"/>
    <mergeCell ref="I119:J119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  <c r="D1" t="inlineStr">
        <is>
          <t>x</t>
        </is>
      </c>
      <c r="E1" t="inlineStr">
        <is>
          <t>Noise density</t>
        </is>
      </c>
      <c r="F1" t="inlineStr">
        <is>
          <t>Signal density</t>
        </is>
      </c>
    </row>
    <row r="2">
      <c r="A2" t="inlineStr">
        <is>
          <t>Hit Rate</t>
        </is>
      </c>
      <c r="B2" t="n">
        <v>0.46</v>
      </c>
      <c r="D2" t="n">
        <v>-4</v>
      </c>
      <c r="E2" t="n">
        <v>0.0001338302257648854</v>
      </c>
      <c r="F2" t="n">
        <v>0.0009129013599064004</v>
      </c>
    </row>
    <row r="3">
      <c r="A3" t="inlineStr">
        <is>
          <t>False Alarm Rate</t>
        </is>
      </c>
      <c r="B3" t="n">
        <v>0.66</v>
      </c>
      <c r="D3" t="n">
        <v>-3.9</v>
      </c>
      <c r="E3" t="n">
        <v>0.0001986554713927727</v>
      </c>
      <c r="F3" t="n">
        <v>0.001287346175718442</v>
      </c>
    </row>
    <row r="4">
      <c r="A4" t="inlineStr">
        <is>
          <t>Chance Level</t>
        </is>
      </c>
      <c r="B4" t="n">
        <v>0.5</v>
      </c>
      <c r="D4" t="n">
        <v>-3.8</v>
      </c>
      <c r="E4" t="n">
        <v>0.0002919469257914603</v>
      </c>
      <c r="F4" t="n">
        <v>0.001797313744862514</v>
      </c>
    </row>
    <row r="5">
      <c r="D5" t="n">
        <v>-3.7</v>
      </c>
      <c r="E5" t="n">
        <v>0.0004247802705507514</v>
      </c>
      <c r="F5" t="n">
        <v>0.002484331231652474</v>
      </c>
    </row>
    <row r="6">
      <c r="D6" t="n">
        <v>-3.6</v>
      </c>
      <c r="E6" t="n">
        <v>0.0006119019301137719</v>
      </c>
      <c r="F6" t="n">
        <v>0.003399790514229519</v>
      </c>
    </row>
    <row r="7">
      <c r="D7" t="n">
        <v>-3.5</v>
      </c>
      <c r="E7" t="n">
        <v>0.0008726826950457602</v>
      </c>
      <c r="F7" t="n">
        <v>0.004606296312903903</v>
      </c>
    </row>
    <row r="8">
      <c r="D8" t="n">
        <v>-3.4</v>
      </c>
      <c r="E8" t="n">
        <v>0.00123221916847302</v>
      </c>
      <c r="F8" t="n">
        <v>0.006178864064685389</v>
      </c>
    </row>
    <row r="9">
      <c r="D9" t="n">
        <v>-3.3</v>
      </c>
      <c r="E9" t="n">
        <v>0.001722568939053681</v>
      </c>
      <c r="F9" t="n">
        <v>0.008205829048284806</v>
      </c>
    </row>
    <row r="10">
      <c r="D10" t="n">
        <v>-3.2</v>
      </c>
      <c r="E10" t="n">
        <v>0.00238408820146484</v>
      </c>
      <c r="F10" t="n">
        <v>0.0107893018773324</v>
      </c>
    </row>
    <row r="11">
      <c r="D11" t="n">
        <v>-3.1</v>
      </c>
      <c r="E11" t="n">
        <v>0.003266819056199919</v>
      </c>
      <c r="F11" t="n">
        <v>0.01404498498210215</v>
      </c>
    </row>
    <row r="12">
      <c r="D12" t="n">
        <v>-3</v>
      </c>
      <c r="E12" t="n">
        <v>0.004431848411938008</v>
      </c>
      <c r="F12" t="n">
        <v>0.01810115423793652</v>
      </c>
    </row>
    <row r="13">
      <c r="D13" t="n">
        <v>-2.9</v>
      </c>
      <c r="E13" t="n">
        <v>0.005952532419775854</v>
      </c>
      <c r="F13" t="n">
        <v>0.0230966138752264</v>
      </c>
    </row>
    <row r="14">
      <c r="D14" t="n">
        <v>-2.8</v>
      </c>
      <c r="E14" t="n">
        <v>0.007915451582979969</v>
      </c>
      <c r="F14" t="n">
        <v>0.02917745541667844</v>
      </c>
    </row>
    <row r="15">
      <c r="D15" t="n">
        <v>-2.7</v>
      </c>
      <c r="E15" t="n">
        <v>0.01042093481442259</v>
      </c>
      <c r="F15" t="n">
        <v>0.03649249603260273</v>
      </c>
    </row>
    <row r="16">
      <c r="D16" t="n">
        <v>-2.6</v>
      </c>
      <c r="E16" t="n">
        <v>0.01358296923368561</v>
      </c>
      <c r="F16" t="n">
        <v>0.04518734032528766</v>
      </c>
    </row>
    <row r="17">
      <c r="D17" t="n">
        <v>-2.5</v>
      </c>
      <c r="E17" t="n">
        <v>0.01752830049356854</v>
      </c>
      <c r="F17" t="n">
        <v>0.05539710196666073</v>
      </c>
    </row>
    <row r="18">
      <c r="D18" t="n">
        <v>-2.4</v>
      </c>
      <c r="E18" t="n">
        <v>0.0223945302948429</v>
      </c>
      <c r="F18" t="n">
        <v>0.0672379349419148</v>
      </c>
    </row>
    <row r="19">
      <c r="D19" t="n">
        <v>-2.3</v>
      </c>
      <c r="E19" t="n">
        <v>0.02832703774160119</v>
      </c>
      <c r="F19" t="n">
        <v>0.08079765245443907</v>
      </c>
    </row>
    <row r="20">
      <c r="D20" t="n">
        <v>-2.2</v>
      </c>
      <c r="E20" t="n">
        <v>0.03547459284623142</v>
      </c>
      <c r="F20" t="n">
        <v>0.09612584575974369</v>
      </c>
    </row>
    <row r="21">
      <c r="D21" t="n">
        <v>-2.1</v>
      </c>
      <c r="E21" t="n">
        <v>0.0439835959804272</v>
      </c>
      <c r="F21" t="n">
        <v>0.1132240434668347</v>
      </c>
    </row>
    <row r="22">
      <c r="D22" t="n">
        <v>-2</v>
      </c>
      <c r="E22" t="n">
        <v>0.05399096651318806</v>
      </c>
      <c r="F22" t="n">
        <v>0.1320365603172981</v>
      </c>
    </row>
    <row r="23">
      <c r="D23" t="n">
        <v>-1.9</v>
      </c>
      <c r="E23" t="n">
        <v>0.0656158147746766</v>
      </c>
      <c r="F23" t="n">
        <v>0.1524427584780502</v>
      </c>
    </row>
    <row r="24">
      <c r="D24" t="n">
        <v>-1.8</v>
      </c>
      <c r="E24" t="n">
        <v>0.07895015830089415</v>
      </c>
      <c r="F24" t="n">
        <v>0.1742514701022593</v>
      </c>
    </row>
    <row r="25">
      <c r="D25" t="n">
        <v>-1.7</v>
      </c>
      <c r="E25" t="n">
        <v>0.09404907737688695</v>
      </c>
      <c r="F25" t="n">
        <v>0.1971982960382544</v>
      </c>
    </row>
    <row r="26">
      <c r="D26" t="n">
        <v>-1.6</v>
      </c>
      <c r="E26" t="n">
        <v>0.1109208346794555</v>
      </c>
      <c r="F26" t="n">
        <v>0.2209463951814426</v>
      </c>
    </row>
    <row r="27">
      <c r="D27" t="n">
        <v>-1.5</v>
      </c>
      <c r="E27" t="n">
        <v>0.1295175956658917</v>
      </c>
      <c r="F27" t="n">
        <v>0.2450912110742605</v>
      </c>
    </row>
    <row r="28">
      <c r="D28" t="n">
        <v>-1.4</v>
      </c>
      <c r="E28" t="n">
        <v>0.1497274656357449</v>
      </c>
      <c r="F28" t="n">
        <v>0.269169352946446</v>
      </c>
    </row>
    <row r="29">
      <c r="D29" t="n">
        <v>-1.3</v>
      </c>
      <c r="E29" t="n">
        <v>0.1713685920478074</v>
      </c>
      <c r="F29" t="n">
        <v>0.2926715707484834</v>
      </c>
    </row>
    <row r="30">
      <c r="D30" t="n">
        <v>-1.2</v>
      </c>
      <c r="E30" t="n">
        <v>0.194186054983213</v>
      </c>
      <c r="F30" t="n">
        <v>0.3150594579388857</v>
      </c>
    </row>
    <row r="31">
      <c r="D31" t="n">
        <v>-1.1</v>
      </c>
      <c r="E31" t="n">
        <v>0.2178521770325506</v>
      </c>
      <c r="F31" t="n">
        <v>0.3357852072399186</v>
      </c>
    </row>
    <row r="32">
      <c r="D32" t="n">
        <v>-1</v>
      </c>
      <c r="E32" t="n">
        <v>0.2419707245191434</v>
      </c>
      <c r="F32" t="n">
        <v>0.3543134617117331</v>
      </c>
    </row>
    <row r="33">
      <c r="D33" t="n">
        <v>-0.9</v>
      </c>
      <c r="E33" t="n">
        <v>0.2660852498987548</v>
      </c>
      <c r="F33" t="n">
        <v>0.3701440748713552</v>
      </c>
    </row>
    <row r="34">
      <c r="D34" t="n">
        <v>-0.8</v>
      </c>
      <c r="E34" t="n">
        <v>0.2896915527614827</v>
      </c>
      <c r="F34" t="n">
        <v>0.3828344446744364</v>
      </c>
    </row>
    <row r="35">
      <c r="D35" t="n">
        <v>-0.7</v>
      </c>
      <c r="E35" t="n">
        <v>0.3122539333667613</v>
      </c>
      <c r="F35" t="n">
        <v>0.392020036262462</v>
      </c>
    </row>
    <row r="36">
      <c r="D36" t="n">
        <v>-0.6</v>
      </c>
      <c r="E36" t="n">
        <v>0.3332246028917997</v>
      </c>
      <c r="F36" t="n">
        <v>0.397431767949619</v>
      </c>
    </row>
    <row r="37">
      <c r="D37" t="n">
        <v>-0.5</v>
      </c>
      <c r="E37" t="n">
        <v>0.3520653267642995</v>
      </c>
      <c r="F37" t="n">
        <v>0.3989091039978411</v>
      </c>
    </row>
    <row r="38">
      <c r="D38" t="n">
        <v>-0.4</v>
      </c>
      <c r="E38" t="n">
        <v>0.3682701403033233</v>
      </c>
      <c r="F38" t="n">
        <v>0.3964079653245782</v>
      </c>
    </row>
    <row r="39">
      <c r="D39" t="n">
        <v>-0.3</v>
      </c>
      <c r="E39" t="n">
        <v>0.3813878154605241</v>
      </c>
      <c r="F39" t="n">
        <v>0.390002914205487</v>
      </c>
    </row>
    <row r="40">
      <c r="D40" t="n">
        <v>-0.2</v>
      </c>
      <c r="E40" t="n">
        <v>0.3910426939754559</v>
      </c>
      <c r="F40" t="n">
        <v>0.3798834618802572</v>
      </c>
    </row>
    <row r="41">
      <c r="D41" t="n">
        <v>-0.1</v>
      </c>
      <c r="E41" t="n">
        <v>0.3969525474770118</v>
      </c>
      <c r="F41" t="n">
        <v>0.3663447542063268</v>
      </c>
    </row>
    <row r="42">
      <c r="D42" t="n">
        <v>0</v>
      </c>
      <c r="E42" t="n">
        <v>0.3989422804014327</v>
      </c>
      <c r="F42" t="n">
        <v>0.3497732741487635</v>
      </c>
    </row>
    <row r="43">
      <c r="D43" t="n">
        <v>0.1</v>
      </c>
      <c r="E43" t="n">
        <v>0.3969525474770118</v>
      </c>
      <c r="F43" t="n">
        <v>0.3306285273986928</v>
      </c>
    </row>
    <row r="44">
      <c r="D44" t="n">
        <v>0.2</v>
      </c>
      <c r="E44" t="n">
        <v>0.3910426939754559</v>
      </c>
      <c r="F44" t="n">
        <v>0.3094219212412121</v>
      </c>
    </row>
    <row r="45">
      <c r="D45" t="n">
        <v>0.3</v>
      </c>
      <c r="E45" t="n">
        <v>0.3813878154605241</v>
      </c>
      <c r="F45" t="n">
        <v>0.2866941882360515</v>
      </c>
    </row>
    <row r="46">
      <c r="D46" t="n">
        <v>0.4</v>
      </c>
      <c r="E46" t="n">
        <v>0.3682701403033233</v>
      </c>
      <c r="F46" t="n">
        <v>0.2629927371640204</v>
      </c>
    </row>
    <row r="47">
      <c r="D47" t="n">
        <v>0.5</v>
      </c>
      <c r="E47" t="n">
        <v>0.3520653267642995</v>
      </c>
      <c r="F47" t="n">
        <v>0.2388502368483789</v>
      </c>
    </row>
    <row r="48">
      <c r="D48" t="n">
        <v>0.6</v>
      </c>
      <c r="E48" t="n">
        <v>0.3332246028917997</v>
      </c>
      <c r="F48" t="n">
        <v>0.2147655668458309</v>
      </c>
    </row>
    <row r="49">
      <c r="D49" t="n">
        <v>0.7</v>
      </c>
      <c r="E49" t="n">
        <v>0.3122539333667613</v>
      </c>
      <c r="F49" t="n">
        <v>0.1911880237691097</v>
      </c>
    </row>
    <row r="50">
      <c r="D50" t="n">
        <v>0.8</v>
      </c>
      <c r="E50" t="n">
        <v>0.2896915527614827</v>
      </c>
      <c r="F50" t="n">
        <v>0.1685053797309454</v>
      </c>
    </row>
    <row r="51">
      <c r="D51" t="n">
        <v>0.9</v>
      </c>
      <c r="E51" t="n">
        <v>0.2660852498987548</v>
      </c>
      <c r="F51" t="n">
        <v>0.1470360789170032</v>
      </c>
    </row>
    <row r="52">
      <c r="D52" t="n">
        <v>1</v>
      </c>
      <c r="E52" t="n">
        <v>0.2419707245191434</v>
      </c>
      <c r="F52" t="n">
        <v>0.1270255575138218</v>
      </c>
    </row>
    <row r="53">
      <c r="D53" t="n">
        <v>1.1</v>
      </c>
      <c r="E53" t="n">
        <v>0.2178521770325506</v>
      </c>
      <c r="F53" t="n">
        <v>0.1086464053504287</v>
      </c>
    </row>
    <row r="54">
      <c r="D54" t="n">
        <v>1.2</v>
      </c>
      <c r="E54" t="n">
        <v>0.194186054983213</v>
      </c>
      <c r="F54" t="n">
        <v>0.09200187308747236</v>
      </c>
    </row>
    <row r="55">
      <c r="D55" t="n">
        <v>1.3</v>
      </c>
      <c r="E55" t="n">
        <v>0.1713685920478074</v>
      </c>
      <c r="F55" t="n">
        <v>0.07713207802951487</v>
      </c>
    </row>
    <row r="56">
      <c r="D56" t="n">
        <v>1.4</v>
      </c>
      <c r="E56" t="n">
        <v>0.1497274656357449</v>
      </c>
      <c r="F56" t="n">
        <v>0.06402217876289235</v>
      </c>
    </row>
    <row r="57">
      <c r="D57" t="n">
        <v>1.5</v>
      </c>
      <c r="E57" t="n">
        <v>0.1295175956658917</v>
      </c>
      <c r="F57" t="n">
        <v>0.05261177118542894</v>
      </c>
    </row>
    <row r="58">
      <c r="D58" t="n">
        <v>1.6</v>
      </c>
      <c r="E58" t="n">
        <v>0.1109208346794555</v>
      </c>
      <c r="F58" t="n">
        <v>0.04280479788864905</v>
      </c>
    </row>
    <row r="59">
      <c r="D59" t="n">
        <v>1.7</v>
      </c>
      <c r="E59" t="n">
        <v>0.09404907737688695</v>
      </c>
      <c r="F59" t="n">
        <v>0.03447934715207847</v>
      </c>
    </row>
    <row r="60">
      <c r="D60" t="n">
        <v>1.8</v>
      </c>
      <c r="E60" t="n">
        <v>0.07895015830089415</v>
      </c>
      <c r="F60" t="n">
        <v>0.02749683278310989</v>
      </c>
    </row>
    <row r="61">
      <c r="D61" t="n">
        <v>1.9</v>
      </c>
      <c r="E61" t="n">
        <v>0.0656158147746766</v>
      </c>
      <c r="F61" t="n">
        <v>0.02171017710289163</v>
      </c>
    </row>
    <row r="62">
      <c r="D62" t="n">
        <v>2</v>
      </c>
      <c r="E62" t="n">
        <v>0.05399096651318806</v>
      </c>
      <c r="F62" t="n">
        <v>0.01697075309914815</v>
      </c>
    </row>
    <row r="63">
      <c r="D63" t="n">
        <v>2.1</v>
      </c>
      <c r="E63" t="n">
        <v>0.0439835959804272</v>
      </c>
      <c r="F63" t="n">
        <v>0.01313396695176979</v>
      </c>
    </row>
    <row r="64">
      <c r="D64" t="n">
        <v>2.2</v>
      </c>
      <c r="E64" t="n">
        <v>0.03547459284623142</v>
      </c>
      <c r="F64" t="n">
        <v>0.01006347051244278</v>
      </c>
    </row>
    <row r="65">
      <c r="D65" t="n">
        <v>2.3</v>
      </c>
      <c r="E65" t="n">
        <v>0.02832703774160119</v>
      </c>
      <c r="F65" t="n">
        <v>0.007634079754471369</v>
      </c>
    </row>
    <row r="66">
      <c r="D66" t="n">
        <v>2.4</v>
      </c>
      <c r="E66" t="n">
        <v>0.0223945302948429</v>
      </c>
      <c r="F66" t="n">
        <v>0.005733537566293442</v>
      </c>
    </row>
    <row r="67">
      <c r="D67" t="n">
        <v>2.5</v>
      </c>
      <c r="E67" t="n">
        <v>0.01752830049356854</v>
      </c>
      <c r="F67" t="n">
        <v>0.004263297967539135</v>
      </c>
    </row>
    <row r="68">
      <c r="D68" t="n">
        <v>2.6</v>
      </c>
      <c r="E68" t="n">
        <v>0.01358296923368561</v>
      </c>
      <c r="F68" t="n">
        <v>0.003138526262383484</v>
      </c>
    </row>
    <row r="69">
      <c r="D69" t="n">
        <v>2.7</v>
      </c>
      <c r="E69" t="n">
        <v>0.01042093481442259</v>
      </c>
      <c r="F69" t="n">
        <v>0.002287509478027399</v>
      </c>
    </row>
    <row r="70">
      <c r="D70" t="n">
        <v>2.8</v>
      </c>
      <c r="E70" t="n">
        <v>0.007915451582979969</v>
      </c>
      <c r="F70" t="n">
        <v>0.001650657967427732</v>
      </c>
    </row>
    <row r="71">
      <c r="D71" t="n">
        <v>2.9</v>
      </c>
      <c r="E71" t="n">
        <v>0.005952532419775854</v>
      </c>
      <c r="F71" t="n">
        <v>0.001179256660878124</v>
      </c>
    </row>
    <row r="72">
      <c r="D72" t="n">
        <v>3</v>
      </c>
      <c r="E72" t="n">
        <v>0.004431848411938008</v>
      </c>
      <c r="F72" t="n">
        <v>0.0008340971526440462</v>
      </c>
    </row>
    <row r="73">
      <c r="D73" t="n">
        <v>3.1</v>
      </c>
      <c r="E73" t="n">
        <v>0.003266819056199919</v>
      </c>
      <c r="F73" t="n">
        <v>0.0005840929905579723</v>
      </c>
    </row>
    <row r="74">
      <c r="D74" t="n">
        <v>3.2</v>
      </c>
      <c r="E74" t="n">
        <v>0.00238408820146484</v>
      </c>
      <c r="F74" t="n">
        <v>0.0004049527993762252</v>
      </c>
    </row>
    <row r="75">
      <c r="D75" t="n">
        <v>3.3</v>
      </c>
      <c r="E75" t="n">
        <v>0.001722568939053681</v>
      </c>
      <c r="F75" t="n">
        <v>0.0002779610040275775</v>
      </c>
    </row>
    <row r="76">
      <c r="D76" t="n">
        <v>3.4</v>
      </c>
      <c r="E76" t="n">
        <v>0.00123221916847302</v>
      </c>
      <c r="F76" t="n">
        <v>0.0001888949698614496</v>
      </c>
    </row>
    <row r="77">
      <c r="D77" t="n">
        <v>3.5</v>
      </c>
      <c r="E77" t="n">
        <v>0.0008726826950457602</v>
      </c>
      <c r="F77" t="n">
        <v>0.0001270907579269574</v>
      </c>
    </row>
    <row r="78">
      <c r="D78" t="n">
        <v>3.6</v>
      </c>
      <c r="E78" t="n">
        <v>0.0006119019301137719</v>
      </c>
      <c r="F78" t="n">
        <v>8.465733667983496e-05</v>
      </c>
    </row>
    <row r="79">
      <c r="D79" t="n">
        <v>3.7</v>
      </c>
      <c r="E79" t="n">
        <v>0.0004247802705507514</v>
      </c>
      <c r="F79" t="n">
        <v>5.58305991297901e-05</v>
      </c>
    </row>
    <row r="80">
      <c r="D80" t="n">
        <v>3.8</v>
      </c>
      <c r="E80" t="n">
        <v>0.0002919469257914603</v>
      </c>
      <c r="F80" t="n">
        <v>3.64533151739386e-05</v>
      </c>
    </row>
    <row r="81">
      <c r="D81" t="n">
        <v>3.9</v>
      </c>
      <c r="E81" t="n">
        <v>0.0001986554713927727</v>
      </c>
      <c r="F81" t="n">
        <v>2.356453248026699e-05</v>
      </c>
    </row>
    <row r="82">
      <c r="D82" t="n">
        <v>4</v>
      </c>
      <c r="E82" t="n">
        <v>0.0001338302257648854</v>
      </c>
      <c r="F82" t="n">
        <v>1.508126184196965e-05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2026-09-11T11:32:36Z</dcterms:created>
  <dcterms:modified xmlns:dcterms="http://purl.org/dc/terms/" xmlns:xsi="http://www.w3.org/2001/XMLSchema-instance" xsi:type="dcterms:W3CDTF">2026-09-11T15:47:48Z</dcterms:modified>
  <cp:lastModifiedBy>Mihir Bhavsar</cp:lastModifiedBy>
  <cp:revision>0</cp:revision>
</cp:coreProperties>
</file>